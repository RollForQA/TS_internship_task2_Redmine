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040aa9fdaf4293" /></Relationships>
</file>

<file path=xl/workbook.xml><?xml version="1.0" encoding="utf-8"?>
<x:workbook xmlns:x="http://schemas.openxmlformats.org/spreadsheetml/2006/main">
  <x:sheets>
    <x:sheet xmlns:r="http://schemas.openxmlformats.org/officeDocument/2006/relationships" name="Overview" sheetId="1" r:id="R0c1386cd467f4073"/>
    <x:sheet xmlns:r="http://schemas.openxmlformats.org/officeDocument/2006/relationships" name="Test Cases" sheetId="2" r:id="R9f268f33fe2d418c"/>
    <x:sheet xmlns:r="http://schemas.openxmlformats.org/officeDocument/2006/relationships" name="Detailed Steps" sheetId="3" r:id="Rb6c30dbcad5a4e0f"/>
    <x:sheet xmlns:r="http://schemas.openxmlformats.org/officeDocument/2006/relationships" name="Automation Mapping" sheetId="4" r:id="R60d69bf4bd534635"/>
    <x:sheet xmlns:r="http://schemas.openxmlformats.org/officeDocument/2006/relationships" name="Automation Data" sheetId="5" r:id="R25902a4373a34b73"/>
    <x:sheet xmlns:r="http://schemas.openxmlformats.org/officeDocument/2006/relationships" name="Test Execution Summary" sheetId="6" r:id="R2951d5daa0d34d35"/>
    <x:sheet xmlns:r="http://schemas.openxmlformats.org/officeDocument/2006/relationships" name="Case Quality Checklist" sheetId="7" r:id="R6b0b6fd6bb8f4f3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1F4E79"/>
      </x:patternFill>
    </x:fill>
    <x:fill>
      <x:patternFill patternType="solid">
        <x:fgColor rgb="D9EAF7"/>
      </x:patternFill>
    </x:fill>
  </x:fills>
  <x:borders count="2">
    <x:border/>
    <x:border>
      <x:left>
        <x:color rgb="B7C9D6"/>
      </x:left>
      <x:right>
        <x:color rgb="B7C9D6"/>
      </x:right>
      <x:top>
        <x:color rgb="B7C9D6"/>
      </x:top>
      <x:bottom>
        <x:color rgb="B7C9D6"/>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2bfdb536244ad3" /><Relationship Type="http://schemas.openxmlformats.org/officeDocument/2006/relationships/theme" Target="/xl/theme/theme1.xml" Id="Rad87c6d04cf64823" /><Relationship Type="http://schemas.openxmlformats.org/officeDocument/2006/relationships/sharedStrings" Target="/xl/sharedStrings.xml" Id="R24dd2e5ba5574a33" /><Relationship Type="http://schemas.openxmlformats.org/officeDocument/2006/relationships/worksheet" Target="/xl/worksheets/sheet1.xml" Id="R0c1386cd467f4073" /><Relationship Type="http://schemas.openxmlformats.org/officeDocument/2006/relationships/worksheet" Target="/xl/worksheets/sheet2.xml" Id="R9f268f33fe2d418c" /><Relationship Type="http://schemas.openxmlformats.org/officeDocument/2006/relationships/worksheet" Target="/xl/worksheets/sheet3.xml" Id="Rb6c30dbcad5a4e0f" /><Relationship Type="http://schemas.openxmlformats.org/officeDocument/2006/relationships/worksheet" Target="/xl/worksheets/sheet4.xml" Id="R60d69bf4bd534635" /><Relationship Type="http://schemas.openxmlformats.org/officeDocument/2006/relationships/worksheet" Target="/xl/worksheets/sheet5.xml" Id="R25902a4373a34b73" /><Relationship Type="http://schemas.openxmlformats.org/officeDocument/2006/relationships/worksheet" Target="/xl/worksheets/sheet6.xml" Id="R2951d5daa0d34d35" /><Relationship Type="http://schemas.openxmlformats.org/officeDocument/2006/relationships/worksheet" Target="/xl/worksheets/sheet7.xml" Id="R6b0b6fd6bb8f4f3d" /></Relationships>
</file>

<file path=xl/tables/table1.xml><?xml version="1.0" encoding="utf-8"?>
<x:table xmlns:x="http://schemas.openxmlformats.org/spreadsheetml/2006/main" id="1" name="RedmineTestCases" displayName="RedmineTestCases" ref="A3:J8" headerRowCount="1">
  <x:tableColumns count="10">
    <x:tableColumn id="1" name="ID"/>
    <x:tableColumn id="2" name="Tag"/>
    <x:tableColumn id="3" name="Priority"/>
    <x:tableColumn id="4" name="Type"/>
    <x:tableColumn id="5" name="Title"/>
    <x:tableColumn id="6" name="Preconditions"/>
    <x:tableColumn id="7" name="Test Data"/>
    <x:tableColumn id="8" name="High-Level Steps"/>
    <x:tableColumn id="9" name="Expected Result"/>
    <x:tableColumn id="10" name="Automation Notes"/>
  </x:tableColumns>
  <x:tableStyleInfo name="TableStyleMedium2" showRowStripes="1"/>
</x:table>
</file>

<file path=xl/tables/table2.xml><?xml version="1.0" encoding="utf-8"?>
<x:table xmlns:x="http://schemas.openxmlformats.org/spreadsheetml/2006/main" id="2" name="RedmineDetailedSteps" displayName="RedmineDetailedSteps" ref="A3:F35" headerRowCount="1">
  <x:tableColumns count="6">
    <x:tableColumn id="1" name="TC ID"/>
    <x:tableColumn id="2" name="Step"/>
    <x:tableColumn id="3" name="Action"/>
    <x:tableColumn id="4" name="Expected Result"/>
    <x:tableColumn id="5" name="Comments"/>
    <x:tableColumn id="6" name="Automation Hook"/>
  </x:tableColumns>
  <x:tableStyleInfo name="TableStyleMedium2" showRowStripes="1"/>
</x:table>
</file>

<file path=xl/tables/table3.xml><?xml version="1.0" encoding="utf-8"?>
<x:table xmlns:x="http://schemas.openxmlformats.org/spreadsheetml/2006/main" id="3" name="RedmineAutomationMapping" displayName="RedmineAutomationMapping" ref="A3:H13" headerRowCount="1">
  <x:tableColumns count="8">
    <x:tableColumn id="1" name="TC ID"/>
    <x:tableColumn id="2" name="Spec File"/>
    <x:tableColumn id="3" name="Page Object"/>
    <x:tableColumn id="4" name="Allure Epic"/>
    <x:tableColumn id="5" name="Allure Feature"/>
    <x:tableColumn id="6" name="Tag"/>
    <x:tableColumn id="7" name="Risk"/>
    <x:tableColumn id="8" name="Notes"/>
  </x:tableColumns>
  <x:tableStyleInfo name="TableStyleMedium2" showRowStripes="1"/>
</x:table>
</file>

<file path=xl/tables/table4.xml><?xml version="1.0" encoding="utf-8"?>
<x:table xmlns:x="http://schemas.openxmlformats.org/spreadsheetml/2006/main" id="4" name="RedmineProjectTabData" displayName="RedmineProjectTabData" ref="A3:F11" headerRowCount="1">
  <x:tableColumns count="6">
    <x:tableColumn id="1" name="TC ID"/>
    <x:tableColumn id="2" name="Data Set"/>
    <x:tableColumn id="3" name="Input / Item"/>
    <x:tableColumn id="4" name="URL or Value"/>
    <x:tableColumn id="5" name="Expected Heading / Content"/>
    <x:tableColumn id="6" name="Stable Assertion"/>
  </x:tableColumns>
  <x:tableStyleInfo name="TableStyleMedium2" showRowStripes="1"/>
</x:table>
</file>

<file path=xl/tables/table5.xml><?xml version="1.0" encoding="utf-8"?>
<x:table xmlns:x="http://schemas.openxmlformats.org/spreadsheetml/2006/main" id="5" name="RedmineIssueData" displayName="RedmineIssueData" ref="A14:F21" headerRowCount="1">
  <x:tableColumns count="6">
    <x:tableColumn id="1" name="TC ID"/>
    <x:tableColumn id="2" name="Data Set"/>
    <x:tableColumn id="3" name="Input / Item"/>
    <x:tableColumn id="4" name="URL or Value"/>
    <x:tableColumn id="5" name="Expected Heading / Content"/>
    <x:tableColumn id="6" name="Stable Assertion"/>
  </x:tableColumns>
  <x:tableStyleInfo name="TableStyleMedium2" showRowStripes="1"/>
</x:table>
</file>

<file path=xl/tables/table6.xml><?xml version="1.0" encoding="utf-8"?>
<x:table xmlns:x="http://schemas.openxmlformats.org/spreadsheetml/2006/main" id="6" name="RedmineSearchData" displayName="RedmineSearchData" ref="A24:F29" headerRowCount="1">
  <x:tableColumns count="6">
    <x:tableColumn id="1" name="TC ID"/>
    <x:tableColumn id="2" name="Data Set"/>
    <x:tableColumn id="3" name="Input / Item"/>
    <x:tableColumn id="4" name="URL or Value"/>
    <x:tableColumn id="5" name="Expected Heading / Content"/>
    <x:tableColumn id="6" name="Stable Assertion"/>
  </x:tableColumns>
  <x:tableStyleInfo name="TableStyleMedium2" showRowStripes="1"/>
</x:table>
</file>

<file path=xl/tables/table7.xml><?xml version="1.0" encoding="utf-8"?>
<x:table xmlns:x="http://schemas.openxmlformats.org/spreadsheetml/2006/main" id="7" name="RedmineRegisterData" displayName="RedmineRegisterData" ref="A32:F42" headerRowCount="1">
  <x:tableColumns count="6">
    <x:tableColumn id="1" name="TC ID"/>
    <x:tableColumn id="2" name="Data Set"/>
    <x:tableColumn id="3" name="Input / Item"/>
    <x:tableColumn id="4" name="URL or Value"/>
    <x:tableColumn id="5" name="Expected Heading / Content"/>
    <x:tableColumn id="6" name="Stable Assertion"/>
  </x:tableColumns>
  <x:tableStyleInfo name="TableStyleMedium2" showRowStripes="1"/>
</x:table>
</file>

<file path=xl/tables/table8.xml><?xml version="1.0" encoding="utf-8"?>
<x:table xmlns:x="http://schemas.openxmlformats.org/spreadsheetml/2006/main" id="8" name="RedmineExecutionSummary" displayName="RedmineExecutionSummary" ref="A13:H18" headerRowCount="1">
  <x:tableColumns count="8">
    <x:tableColumn id="1" name="TC ID"/>
    <x:tableColumn id="2" name="Title"/>
    <x:tableColumn id="3" name="Tag"/>
    <x:tableColumn id="4" name="Spec File"/>
    <x:tableColumn id="5" name="Tester"/>
    <x:tableColumn id="6" name="Status"/>
    <x:tableColumn id="7" name="Date"/>
    <x:tableColumn id="8" name="Notes / Defect ID"/>
  </x:tableColumns>
  <x:tableStyleInfo name="TableStyleMedium2" showRowStripes="1"/>
</x:table>
</file>

<file path=xl/tables/table9.xml><?xml version="1.0" encoding="utf-8"?>
<x:table xmlns:x="http://schemas.openxmlformats.org/spreadsheetml/2006/main" id="9" name="RedmineCaseQualityChecklist" displayName="RedmineCaseQualityChecklist" ref="A3:D15" headerRowCount="1">
  <x:tableColumns count="4">
    <x:tableColumn id="1" name="Rule"/>
    <x:tableColumn id="2" name="Required"/>
    <x:tableColumn id="3" name="Why it matters"/>
    <x:tableColumn id="4" name="Sourc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fb1246783cf4293" /></Relationships>
</file>

<file path=xl/worksheets/_rels/sheet3.xml.rels>&#65279;<?xml version="1.0" encoding="utf-8"?><Relationships xmlns="http://schemas.openxmlformats.org/package/2006/relationships"><Relationship Type="http://schemas.openxmlformats.org/officeDocument/2006/relationships/table" Target="/xl/tables/table2.xml" Id="R3ddfb9c778054d56" /></Relationships>
</file>

<file path=xl/worksheets/_rels/sheet4.xml.rels>&#65279;<?xml version="1.0" encoding="utf-8"?><Relationships xmlns="http://schemas.openxmlformats.org/package/2006/relationships"><Relationship Type="http://schemas.openxmlformats.org/officeDocument/2006/relationships/table" Target="/xl/tables/table3.xml" Id="R96ad82fa04f64805" /></Relationships>
</file>

<file path=xl/worksheets/_rels/sheet5.xml.rels>&#65279;<?xml version="1.0" encoding="utf-8"?><Relationships xmlns="http://schemas.openxmlformats.org/package/2006/relationships"><Relationship Type="http://schemas.openxmlformats.org/officeDocument/2006/relationships/table" Target="/xl/tables/table4.xml" Id="R3d5d4dc5b031434c" /><Relationship Type="http://schemas.openxmlformats.org/officeDocument/2006/relationships/table" Target="/xl/tables/table5.xml" Id="R3b618e5cc4d74fe7" /><Relationship Type="http://schemas.openxmlformats.org/officeDocument/2006/relationships/table" Target="/xl/tables/table6.xml" Id="Rbb614c9da8f248ce" /><Relationship Type="http://schemas.openxmlformats.org/officeDocument/2006/relationships/table" Target="/xl/tables/table7.xml" Id="R9f07191c5d1a4c6f" /></Relationships>
</file>

<file path=xl/worksheets/_rels/sheet6.xml.rels>&#65279;<?xml version="1.0" encoding="utf-8"?><Relationships xmlns="http://schemas.openxmlformats.org/package/2006/relationships"><Relationship Type="http://schemas.openxmlformats.org/officeDocument/2006/relationships/table" Target="/xl/tables/table8.xml" Id="Rdb2bf9ca8e34411f" /></Relationships>
</file>

<file path=xl/worksheets/_rels/sheet7.xml.rels>&#65279;<?xml version="1.0" encoding="utf-8"?><Relationships xmlns="http://schemas.openxmlformats.org/package/2006/relationships"><Relationship Type="http://schemas.openxmlformats.org/officeDocument/2006/relationships/table" Target="/xl/tables/table9.xml" Id="Re68a4cebcbf64bc2" /></Relationships>
</file>

<file path=xl/worksheets/sheet1.xml><?xml version="1.0" encoding="utf-8"?>
<x:worksheet xmlns:x="http://schemas.openxmlformats.org/spreadsheetml/2006/main">
  <x:sheetViews>
    <x:sheetView showGridLines="0" workbookViewId="0"/>
  </x:sheetViews>
  <x:sheetFormatPr defaultRowHeight="15"/>
  <x:cols>
    <x:col min="1" max="1" width="22.209999084472656" hidden="0" customWidth="1"/>
    <x:col min="2" max="2" width="47.779998779296875" hidden="0" customWidth="1"/>
    <x:col min="3" max="3" width="2.690000057220459" hidden="0" customWidth="1"/>
    <x:col min="4" max="4" width="20.190000534057617" hidden="0" customWidth="1"/>
    <x:col min="5" max="5" width="20.190000534057617" hidden="0" customWidth="1"/>
    <x:col min="6" max="6" width="20.190000534057617" hidden="0" customWidth="1"/>
    <x:col min="7" max="7" width="20.190000534057617" hidden="0" customWidth="1"/>
    <x:col min="8" max="8" width="20.190000534057617" hidden="0" customWidth="1"/>
  </x:cols>
  <x:sheetData>
    <x:row r="1" ht="25.5" customHeight="1">
      <x:c r="A1" s="4" t="str">
        <x:v>Redmine.org Site Testing Plan</x:v>
      </x:c>
      <x:c r="B1" s="4" t="str">
        <x:v>Redmine.org Site Testing Plan</x:v>
      </x:c>
      <x:c r="C1" s="4" t="str">
        <x:v>Redmine.org Site Testing Plan</x:v>
      </x:c>
      <x:c r="D1" s="4" t="str">
        <x:v>Redmine.org Site Testing Plan</x:v>
      </x:c>
      <x:c r="E1" s="4" t="str">
        <x:v>Redmine.org Site Testing Plan</x:v>
      </x:c>
      <x:c r="F1" s="4" t="str">
        <x:v>Redmine.org Site Testing Plan</x:v>
      </x:c>
      <x:c r="G1" s="4" t="str">
        <x:v>Redmine.org Site Testing Plan</x:v>
      </x:c>
      <x:c r="H1" s="4" t="str">
        <x:v>Redmine.org Site Testing Plan</x:v>
      </x:c>
    </x:row>
    <x:row r="3">
      <x:c r="A3" s="9" t="str">
        <x:v>Project</x:v>
      </x:c>
      <x:c r="B3" s="7" t="str">
        <x:v>Redmine.org</x:v>
      </x:c>
      <x:c r="D3" s="13" t="str">
        <x:v>Testing Scope</x:v>
      </x:c>
      <x:c r="E3" s="13" t="str">
        <x:v>Testing Scope</x:v>
      </x:c>
      <x:c r="F3" s="13" t="str">
        <x:v>Testing Scope</x:v>
      </x:c>
      <x:c r="G3" s="13" t="str">
        <x:v>Testing Scope</x:v>
      </x:c>
      <x:c r="H3" s="13" t="str">
        <x:v>Testing Scope</x:v>
      </x:c>
    </x:row>
    <x:row r="4">
      <x:c r="A4" s="9" t="str">
        <x:v>Site under test</x:v>
      </x:c>
      <x:c r="B4" s="7" t="str">
        <x:v>https://www.redmine.org/</x:v>
      </x:c>
      <x:c r="D4" s="7" t="str">
        <x:v>Public Redmine overview and project pages, including stable home page content sections</x:v>
      </x:c>
      <x:c r="E4" s="7"/>
      <x:c r="F4" s="7"/>
      <x:c r="G4" s="7"/>
      <x:c r="H4" s="7"/>
    </x:row>
    <x:row r="5">
      <x:c r="A5" s="9" t="str">
        <x:v>Document type</x:v>
      </x:c>
      <x:c r="B5" s="7" t="str">
        <x:v>Manual test plan and automation scope</x:v>
      </x:c>
      <x:c r="D5" s="7" t="str">
        <x:v>Project navigation tabs: Overview, Download, Activity, Roadmap, Issues, News, Wiki, Forums</x:v>
      </x:c>
      <x:c r="E5" s="7"/>
      <x:c r="F5" s="7"/>
      <x:c r="G5" s="7"/>
      <x:c r="H5" s="7"/>
    </x:row>
    <x:row r="6">
      <x:c r="A6" s="9" t="str">
        <x:v>Prepared for</x:v>
      </x:c>
      <x:c r="B6" s="7" t="str">
        <x:v>Playwright + POM + Allure task</x:v>
      </x:c>
      <x:c r="D6" s="7" t="str">
        <x:v>Issues list, default columns, custom queries, and filter controls</x:v>
      </x:c>
      <x:c r="E6" s="7"/>
      <x:c r="F6" s="7"/>
      <x:c r="G6" s="7"/>
      <x:c r="H6" s="7"/>
    </x:row>
    <x:row r="7">
      <x:c r="A7" s="9" t="str">
        <x:v>Version</x:v>
      </x:c>
      <x:c r="B7" s="7" t="str">
        <x:v>1.0</x:v>
      </x:c>
      <x:c r="D7" s="7" t="str">
        <x:v>Header global search flow to /search, including valid, empty, special-character, long, and no-result queries</x:v>
      </x:c>
      <x:c r="E7" s="7"/>
      <x:c r="F7" s="7"/>
      <x:c r="G7" s="7"/>
      <x:c r="H7" s="7"/>
    </x:row>
    <x:row r="8">
      <x:c r="A8" s="9" t="str">
        <x:v>Date</x:v>
      </x:c>
      <x:c r="B8" s="7" t="str">
        <x:v>2026-05-01</x:v>
      </x:c>
      <x:c r="D8" s="7" t="str">
        <x:v>Registration form validation without creating a real account</x:v>
      </x:c>
      <x:c r="E8" s="7"/>
      <x:c r="F8" s="7"/>
      <x:c r="G8" s="7"/>
      <x:c r="H8" s="7"/>
    </x:row>
    <x:row r="9">
      <x:c r="A9" s="9" t="str">
        <x:v>Automation report</x:v>
      </x:c>
      <x:c r="B9" s="7" t="str">
        <x:v>Allure</x:v>
      </x:c>
      <x:c r="D9" s="7" t="str">
        <x:v>Read-only checks only; no production data changes; shared responsive, accessibility, and console-error gates are documented as quality checks</x:v>
      </x:c>
      <x:c r="E9" s="7"/>
      <x:c r="F9" s="7"/>
      <x:c r="G9" s="7"/>
      <x:c r="H9" s="7"/>
    </x:row>
    <x:row r="10">
      <x:c r="A10" s="9" t="str">
        <x:v>Repository status</x:v>
      </x:c>
      <x:c r="B10" s="7" t="str">
        <x:v>To be deployed to GitHub</x:v>
      </x:c>
    </x:row>
    <x:row r="12">
      <x:c r="A12" s="13" t="str">
        <x:v>Automation Strategy</x:v>
      </x:c>
      <x:c r="B12" s="13" t="str">
        <x:v>Automation Strategy</x:v>
      </x:c>
      <x:c r="C12" s="13" t="str">
        <x:v>Automation Strategy</x:v>
      </x:c>
      <x:c r="D12" s="13" t="str">
        <x:v>Automation Strategy</x:v>
      </x:c>
      <x:c r="E12" s="13" t="str">
        <x:v>Automation Strategy</x:v>
      </x:c>
      <x:c r="F12" s="13" t="str">
        <x:v>Automation Strategy</x:v>
      </x:c>
      <x:c r="G12" s="13" t="str">
        <x:v>Automation Strategy</x:v>
      </x:c>
      <x:c r="H12" s="13" t="str">
        <x:v>Automation Strategy</x:v>
      </x:c>
    </x:row>
    <x:row r="13">
      <x:c r="A13" s="7" t="str">
        <x:v>The task is limited to 5 broad test cases, so each case keeps one main testing goal and uses detailed sub-checks for coverage.</x:v>
      </x:c>
      <x:c r="B13" s="7"/>
      <x:c r="C13" s="7"/>
      <x:c r="D13" s="7"/>
      <x:c r="E13" s="7"/>
      <x:c r="F13" s="7"/>
      <x:c r="G13" s="7"/>
      <x:c r="H13" s="7"/>
    </x:row>
    <x:row r="14">
      <x:c r="A14" s="7" t="str">
        <x:v>The Detailed Steps sheet is the main implementation reference for Playwright actions and assertions.</x:v>
      </x:c>
      <x:c r="B14" s="7"/>
      <x:c r="C14" s="7"/>
      <x:c r="D14" s="7"/>
      <x:c r="E14" s="7"/>
      <x:c r="F14" s="7"/>
      <x:c r="G14" s="7"/>
      <x:c r="H14" s="7"/>
    </x:row>
    <x:row r="15">
      <x:c r="A15" s="7" t="str">
        <x:v>The Automation Data sheet contains reusable data-driven matrices for tabs, issue columns, search variants, and register validation data.</x:v>
      </x:c>
      <x:c r="B15" s="7"/>
      <x:c r="C15" s="7"/>
      <x:c r="D15" s="7"/>
      <x:c r="E15" s="7"/>
      <x:c r="F15" s="7"/>
      <x:c r="G15" s="7"/>
      <x:c r="H15" s="7"/>
    </x:row>
    <x:row r="16">
      <x:c r="A16" s="7" t="str">
        <x:v>Dynamic public data must be validated by stable structure, headings, controls, and row/result presence instead of exact changing IDs or counts.</x:v>
      </x:c>
      <x:c r="B16" s="7"/>
      <x:c r="C16" s="7"/>
      <x:c r="D16" s="7"/>
      <x:c r="E16" s="7"/>
      <x:c r="F16" s="7"/>
      <x:c r="G16" s="7"/>
      <x:c r="H16" s="7"/>
    </x:row>
    <x:row r="17">
      <x:c r="A17" s="7" t="str">
        <x:v>Tests should use Page Object Model methods, Header/Footer component objects, and Allure labels from the Automation Mapping sheet.</x:v>
      </x:c>
      <x:c r="B17" s="7"/>
      <x:c r="C17" s="7"/>
      <x:c r="D17" s="7"/>
      <x:c r="E17" s="7"/>
      <x:c r="F17" s="7"/>
      <x:c r="G17" s="7"/>
      <x:c r="H17" s="7"/>
    </x:row>
    <x:row r="19">
      <x:c r="A19" s="13" t="str">
        <x:v>Out of Scope / Safety Limits</x:v>
      </x:c>
      <x:c r="B19" s="13" t="str">
        <x:v>Out of Scope / Safety Limits</x:v>
      </x:c>
      <x:c r="C19" s="13" t="str">
        <x:v>Out of Scope / Safety Limits</x:v>
      </x:c>
      <x:c r="D19" s="13" t="str">
        <x:v>Out of Scope / Safety Limits</x:v>
      </x:c>
      <x:c r="E19" s="13" t="str">
        <x:v>Out of Scope / Safety Limits</x:v>
      </x:c>
      <x:c r="F19" s="13" t="str">
        <x:v>Out of Scope / Safety Limits</x:v>
      </x:c>
      <x:c r="G19" s="13" t="str">
        <x:v>Out of Scope / Safety Limits</x:v>
      </x:c>
      <x:c r="H19" s="13" t="str">
        <x:v>Out of Scope / Safety Limits</x:v>
      </x:c>
    </x:row>
    <x:row r="20">
      <x:c r="A20" s="7" t="str">
        <x:v>Creating real Redmine accounts or confirming emails</x:v>
      </x:c>
      <x:c r="B20" s="7"/>
      <x:c r="C20" s="7"/>
      <x:c r="D20" s="7"/>
      <x:c r="E20" s="7"/>
      <x:c r="F20" s="7"/>
      <x:c r="G20" s="7"/>
      <x:c r="H20" s="7"/>
    </x:row>
    <x:row r="21">
      <x:c r="A21" s="7" t="str">
        <x:v>Submitting real issues, forum messages, wiki edits, or project changes</x:v>
      </x:c>
      <x:c r="B21" s="7"/>
      <x:c r="C21" s="7"/>
      <x:c r="D21" s="7"/>
      <x:c r="E21" s="7"/>
      <x:c r="F21" s="7"/>
      <x:c r="G21" s="7"/>
      <x:c r="H21" s="7"/>
    </x:row>
    <x:row r="22">
      <x:c r="A22" s="7" t="str">
        <x:v>Using private credentials, tokens, personal emails, or destructive actions</x:v>
      </x:c>
      <x:c r="B22" s="7"/>
      <x:c r="C22" s="7"/>
      <x:c r="D22" s="7"/>
      <x:c r="E22" s="7"/>
      <x:c r="F22" s="7"/>
      <x:c r="G22" s="7"/>
      <x:c r="H22" s="7"/>
    </x:row>
    <x:row r="23">
      <x:c r="A23" s="7" t="str">
        <x:v>Testing third-party demo sites that are not part of redmine.org</x:v>
      </x:c>
      <x:c r="B23" s="7"/>
      <x:c r="C23" s="7"/>
      <x:c r="D23" s="7"/>
      <x:c r="E23" s="7"/>
      <x:c r="F23" s="7"/>
      <x:c r="G23" s="7"/>
      <x:c r="H23" s="7"/>
    </x:row>
    <x:row r="24">
      <x:c r="A24" s="7" t="str">
        <x:v>Payment/donation flows beyond safe link visibility checks</x:v>
      </x:c>
      <x:c r="B24" s="7"/>
      <x:c r="C24" s="7"/>
      <x:c r="D24" s="7"/>
      <x:c r="E24" s="7"/>
      <x:c r="F24" s="7"/>
      <x:c r="G24" s="7"/>
      <x:c r="H24" s="7"/>
    </x:row>
    <x:row r="25">
      <x:c r="A25" s="7" t="str">
        <x:v>Full WCAG audit, full responsive matrix, and exhaustive performance testing beyond the shared automation gates</x:v>
      </x:c>
      <x:c r="B25" s="7"/>
      <x:c r="C25" s="7"/>
      <x:c r="D25" s="7"/>
      <x:c r="E25" s="7"/>
      <x:c r="F25" s="7"/>
      <x:c r="G25" s="7"/>
      <x:c r="H25" s="7"/>
    </x:row>
    <x:row r="26">
      <x:c r="A26" s="7" t="str">
        <x:v>Browser DevTools implementation details except when needed to stabilize selectors/assertions</x:v>
      </x:c>
      <x:c r="B26" s="7"/>
      <x:c r="C26" s="7"/>
      <x:c r="D26" s="7"/>
      <x:c r="E26" s="7"/>
      <x:c r="F26" s="7"/>
      <x:c r="G26" s="7"/>
      <x:c r="H26" s="7"/>
    </x:row>
    <x:row r="28">
      <x:c r="A28" s="13" t="str">
        <x:v>References</x:v>
      </x:c>
      <x:c r="B28" s="13" t="str">
        <x:v>References</x:v>
      </x:c>
      <x:c r="C28" s="13" t="str">
        <x:v>References</x:v>
      </x:c>
      <x:c r="D28" s="13" t="str">
        <x:v>References</x:v>
      </x:c>
      <x:c r="E28" s="13" t="str">
        <x:v>References</x:v>
      </x:c>
      <x:c r="F28" s="13" t="str">
        <x:v>References</x:v>
      </x:c>
      <x:c r="G28" s="13" t="str">
        <x:v>References</x:v>
      </x:c>
      <x:c r="H28" s="13" t="str">
        <x:v>References</x:v>
      </x:c>
    </x:row>
    <x:row r="29">
      <x:c r="A29" s="7" t="str">
        <x:v>Redmine.org</x:v>
      </x:c>
      <x:c r="B29" s="7" t="str">
        <x:v>https://www.redmine.org/</x:v>
      </x:c>
      <x:c r="C29" s="7" t="str"/>
      <x:c r="D29" s="7" t="str"/>
      <x:c r="E29" s="7" t="str"/>
      <x:c r="F29" s="7" t="str"/>
      <x:c r="G29" s="7" t="str"/>
      <x:c r="H29" s="7" t="str"/>
    </x:row>
    <x:row r="30">
      <x:c r="A30" s="7" t="str">
        <x:v>QATestLab test case example</x:v>
      </x:c>
      <x:c r="B30" s="7" t="str">
        <x:v>https://qatestlab.com/assets/Uploads/QATestLab-Test-cases-Project-Name-example.pdf</x:v>
      </x:c>
      <x:c r="C30" s="7" t="str"/>
      <x:c r="D30" s="7" t="str"/>
      <x:c r="E30" s="7" t="str"/>
      <x:c r="F30" s="7" t="str"/>
      <x:c r="G30" s="7" t="str"/>
      <x:c r="H30" s="7" t="str"/>
    </x:row>
    <x:row r="31">
      <x:c r="A31" s="7" t="str">
        <x:v>QATestLab lecture: test design and test cases</x:v>
      </x:c>
      <x:c r="B31" s="7" t="str">
        <x:v>https://training.qatestlab.com/blog/course-materials/lecture-test-case/</x:v>
      </x:c>
      <x:c r="C31" s="7" t="str"/>
      <x:c r="D31" s="7" t="str"/>
      <x:c r="E31" s="7" t="str"/>
      <x:c r="F31" s="7" t="str"/>
      <x:c r="G31" s="7" t="str"/>
      <x:c r="H31" s="7" t="str"/>
    </x:row>
    <x:row r="32">
      <x:c r="A32" s="7" t="str">
        <x:v>QATestLab typical test case mistakes</x:v>
      </x:c>
      <x:c r="B32" s="7" t="str">
        <x:v>https://training.qatestlab.com/blog/course-materials/typical-mistakes-when-describing-test-cases-on-the-course/</x:v>
      </x:c>
      <x:c r="C32" s="7" t="str"/>
      <x:c r="D32" s="7" t="str"/>
      <x:c r="E32" s="7" t="str"/>
      <x:c r="F32" s="7" t="str"/>
      <x:c r="G32" s="7" t="str"/>
      <x:c r="H32" s="7" t="str"/>
    </x:row>
  </x:sheetData>
  <x:mergeCells>
    <x:mergeCell ref="A1:H1"/>
    <x:mergeCell ref="D3:H3"/>
    <x:mergeCell ref="D4:H4"/>
    <x:mergeCell ref="D5:H5"/>
    <x:mergeCell ref="D6:H6"/>
    <x:mergeCell ref="D7:H7"/>
    <x:mergeCell ref="D8:H8"/>
    <x:mergeCell ref="D9:H9"/>
    <x:mergeCell ref="A12:H12"/>
    <x:mergeCell ref="A13:H13"/>
    <x:mergeCell ref="A14:H14"/>
    <x:mergeCell ref="A15:H15"/>
    <x:mergeCell ref="A16:H16"/>
    <x:mergeCell ref="A17:H17"/>
    <x:mergeCell ref="A19:H19"/>
    <x:mergeCell ref="A20:H20"/>
    <x:mergeCell ref="A21:H21"/>
    <x:mergeCell ref="A22:H22"/>
    <x:mergeCell ref="A23:H23"/>
    <x:mergeCell ref="A24:H24"/>
    <x:mergeCell ref="A25:H25"/>
    <x:mergeCell ref="A26:H26"/>
    <x:mergeCell ref="A28: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75" hidden="0" customWidth="1"/>
    <x:col min="2" max="2" width="11.4399995803833" hidden="0" customWidth="1"/>
    <x:col min="3" max="3" width="11.4399995803833" hidden="0" customWidth="1"/>
    <x:col min="4" max="4" width="15.479999542236328" hidden="0" customWidth="1"/>
    <x:col min="5" max="5" width="37.0099983215332" hidden="0" customWidth="1"/>
    <x:col min="6" max="6" width="34.31999969482422" hidden="0" customWidth="1"/>
    <x:col min="7" max="7" width="28.940000534057617" hidden="0" customWidth="1"/>
    <x:col min="8" max="8" width="47.779998779296875" hidden="0" customWidth="1"/>
    <x:col min="9" max="9" width="43.7400016784668" hidden="0" customWidth="1"/>
    <x:col min="10" max="10" width="35.66999816894531" hidden="0" customWidth="1"/>
  </x:cols>
  <x:sheetData>
    <x:row r="1" ht="25.5" customHeight="1">
      <x:c r="A1" s="4" t="str">
        <x:v>Redmine.org Test Cases</x:v>
      </x:c>
      <x:c r="B1" s="4" t="str">
        <x:v>Redmine.org Test Cases</x:v>
      </x:c>
      <x:c r="C1" s="4" t="str">
        <x:v>Redmine.org Test Cases</x:v>
      </x:c>
      <x:c r="D1" s="4" t="str">
        <x:v>Redmine.org Test Cases</x:v>
      </x:c>
      <x:c r="E1" s="4" t="str">
        <x:v>Redmine.org Test Cases</x:v>
      </x:c>
      <x:c r="F1" s="4" t="str">
        <x:v>Redmine.org Test Cases</x:v>
      </x:c>
      <x:c r="G1" s="4" t="str">
        <x:v>Redmine.org Test Cases</x:v>
      </x:c>
      <x:c r="H1" s="4" t="str">
        <x:v>Redmine.org Test Cases</x:v>
      </x:c>
      <x:c r="I1" s="4" t="str">
        <x:v>Redmine.org Test Cases</x:v>
      </x:c>
      <x:c r="J1" s="4" t="str">
        <x:v>Redmine.org Test Cases</x:v>
      </x:c>
    </x:row>
    <x:row r="3">
      <x:c r="A3" s="13" t="str">
        <x:v>ID</x:v>
      </x:c>
      <x:c r="B3" s="13" t="str">
        <x:v>Tag</x:v>
      </x:c>
      <x:c r="C3" s="13" t="str">
        <x:v>Priority</x:v>
      </x:c>
      <x:c r="D3" s="13" t="str">
        <x:v>Type</x:v>
      </x:c>
      <x:c r="E3" s="13" t="str">
        <x:v>Title</x:v>
      </x:c>
      <x:c r="F3" s="13" t="str">
        <x:v>Preconditions</x:v>
      </x:c>
      <x:c r="G3" s="13" t="str">
        <x:v>Test Data</x:v>
      </x:c>
      <x:c r="H3" s="13" t="str">
        <x:v>High-Level Steps</x:v>
      </x:c>
      <x:c r="I3" s="13" t="str">
        <x:v>Expected Result</x:v>
      </x:c>
      <x:c r="J3" s="13" t="str">
        <x:v>Automation Notes</x:v>
      </x:c>
    </x:row>
    <x:row r="4" ht="78.75" customHeight="1">
      <x:c r="A4" s="7" t="str">
        <x:v>TC-01</x:v>
      </x:c>
      <x:c r="B4" s="7" t="str">
        <x:v>@smoke</x:v>
      </x:c>
      <x:c r="C4" s="7" t="str">
        <x:v>High</x:v>
      </x:c>
      <x:c r="D4" s="7" t="str">
        <x:v>Functional UI</x:v>
      </x:c>
      <x:c r="E4" s="7" t="str">
        <x:v>Verify Redmine home page overview, release, resource, and feature sections</x:v>
      </x:c>
      <x:c r="F4" s="7" t="str">
        <x:v>The user is not logged in. The main domain is available: https://www.redmine.org/.</x:v>
      </x:c>
      <x:c r="G4" s="7" t="str">
        <x:v>No input data is required.</x:v>
      </x:c>
      <x:c r="H4" s="7" t="str">
        <x:v>Open the home page. Verify the Redmine heading and main navigation. Verify Latest releases, Resources, Wiki, Features, Documentation, Online demo, Support, Contributing, Who uses Redmine?, and Redmine books sections are visible. Verify key resource links are clickable without leaving the Redmine domain when applicable.</x:v>
      </x:c>
      <x:c r="I4" s="7" t="str">
        <x:v>The home page is displayed with the expected Redmine overview content, navigation, release/resource blocks, and all documented feature/documentation/community/book sections.</x:v>
      </x:c>
      <x:c r="J4" s="7" t="str">
        <x:v>Automate as one smoke scenario. Use HomePage POM. Add Allure epic: Public Site, feature: Home.</x:v>
      </x:c>
    </x:row>
    <x:row r="5" ht="78.75" customHeight="1">
      <x:c r="A5" s="7" t="str">
        <x:v>TC-02</x:v>
      </x:c>
      <x:c r="B5" s="7" t="str">
        <x:v>@smoke</x:v>
      </x:c>
      <x:c r="C5" s="7" t="str">
        <x:v>High</x:v>
      </x:c>
      <x:c r="D5" s="7" t="str">
        <x:v>Navigation</x:v>
      </x:c>
      <x:c r="E5" s="7" t="str">
        <x:v>Verify Redmine project navigation tabs open the expected public pages</x:v>
      </x:c>
      <x:c r="F5" s="7" t="str">
        <x:v>The user is not logged in. The Redmine project page is available.</x:v>
      </x:c>
      <x:c r="G5" s="7" t="str">
        <x:v>See Automation Data: Project Tabs matrix with tab name, URL/path, expected heading/content, and stable assertion.</x:v>
      </x:c>
      <x:c r="H5" s="7" t="str">
        <x:v>Open the Redmine project overview. Iterate through the project tabs from the Automation Data sheet. For every tab, verify the URL path, page title or main heading, stable content marker, and that project navigation remains available.</x:v>
      </x:c>
      <x:c r="I5" s="7" t="str">
        <x:v>Each public project tab opens successfully, matches its expected URL/content marker, and keeps the user in the Redmine project context.</x:v>
      </x:c>
      <x:c r="J5" s="7" t="str">
        <x:v>Automate with ProjectPage POM and a data-driven tab list. Keep assertions per tab lightweight but explicit.</x:v>
      </x:c>
    </x:row>
    <x:row r="6" ht="78.75" customHeight="1">
      <x:c r="A6" s="7" t="str">
        <x:v>TC-03</x:v>
      </x:c>
      <x:c r="B6" s="7" t="str">
        <x:v>@regression</x:v>
      </x:c>
      <x:c r="C6" s="7" t="str">
        <x:v>Medium</x:v>
      </x:c>
      <x:c r="D6" s="7" t="str">
        <x:v>Functional UI</x:v>
      </x:c>
      <x:c r="E6" s="7" t="str">
        <x:v>Verify Issues page default list, custom queries, and filter controls</x:v>
      </x:c>
      <x:c r="F6" s="7" t="str">
        <x:v>The user is not logged in. The Redmine project Issues page is available.</x:v>
      </x:c>
      <x:c r="G6" s="7" t="str">
        <x:v>Core columns: #, Status, Subject, Updated. Tracker representation: separate Tracker header when present, otherwise tracker label in issue row/subject text. Category is checked only when selected/visible. Custom queries: Documentation issues, Open defects, Open features, Patch queue, Plugin issues, Translation patches.</x:v>
      </x:c>
      <x:c r="H6" s="7" t="str">
        <x:v>Open Issues. Verify the page heading, custom queries block, Filters block, Options block, Apply and Clear controls, stable core table columns, tracker representation, pagination, and at least one issue row. Open one safe custom query and verify that issue list context is preserved.</x:v>
      </x:c>
      <x:c r="I6" s="7" t="str">
        <x:v>The Issues page displays the default public issue list, filtering controls, custom queries, core table columns, tracker information, and public issue rows without requiring authentication.</x:v>
      </x:c>
      <x:c r="J6" s="7" t="str">
        <x:v>Automate with IssuesPage POM. Avoid relying on exact dynamic issue numbers; use fallback assertion for Tracker because markup may differ.</x:v>
      </x:c>
    </x:row>
    <x:row r="7" ht="78.75" customHeight="1">
      <x:c r="A7" s="7" t="str">
        <x:v>TC-04</x:v>
      </x:c>
      <x:c r="B7" s="7" t="str">
        <x:v>@regression</x:v>
      </x:c>
      <x:c r="C7" s="7" t="str">
        <x:v>Medium</x:v>
      </x:c>
      <x:c r="D7" s="7" t="str">
        <x:v>Search</x:v>
      </x:c>
      <x:c r="E7" s="7" t="str">
        <x:v>Verify global search handles valid and no-result public queries</x:v>
      </x:c>
      <x:c r="F7" s="7" t="str">
        <x:v>The user is not logged in. The search field is available in the global site header. This case tests the global /search flow from the home page, not project-specific /projects/redmine/search.</x:v>
      </x:c>
      <x:c r="G7" s="7" t="str">
        <x:v>Queries: plugin; empty query; &lt;script&gt;; long string with 256 characters; redmine-no-result-qa-2026.</x:v>
      </x:c>
      <x:c r="H7" s="7" t="str">
        <x:v>Open the home page. Submit each query variant through the header search field. Verify navigation to global /search, query persistence where applicable, result controls, valid-query results, and graceful handling of empty, special-character, long, and no-result inputs.</x:v>
      </x:c>
      <x:c r="I7" s="7" t="str">
        <x:v>The global search page preserves submitted query values where applicable, displays public results for the valid query, and handles edge-case queries without server or UI errors.</x:v>
      </x:c>
      <x:c r="J7" s="7" t="str">
        <x:v>Automate with SearchPage POM and data-driven query variants from Automation Data. Use Allure step annotations.</x:v>
      </x:c>
    </x:row>
    <x:row r="8" ht="78.75" customHeight="1">
      <x:c r="A8" s="7" t="str">
        <x:v>TC-05</x:v>
      </x:c>
      <x:c r="B8" s="7" t="str">
        <x:v>@regression</x:v>
      </x:c>
      <x:c r="C8" s="7" t="str">
        <x:v>High</x:v>
      </x:c>
      <x:c r="D8" s="7" t="str">
        <x:v>Validation</x:v>
      </x:c>
      <x:c r="E8" s="7" t="str">
        <x:v>Verify Register form required fields and password validation without creating an account</x:v>
      </x:c>
      <x:c r="F8" s="7" t="str">
        <x:v>The user is not logged in. The Register page is available. No real account must be created.</x:v>
      </x:c>
      <x:c r="G8" s="7" t="str">
        <x:v>Empty required fields; short password: short7; boundary password: Passw0rd; password mismatch: ValidPass123! / Mismatch123!; fake email: qa.redmine@example.test.</x:v>
      </x:c>
      <x:c r="H8" s="7" t="str">
        <x:v>Open Register. Verify required and optional fields are displayed. Submit empty required fields. Fill invalid and boundary password data from Automation Data without completing a valid registration. Verify validation behavior and that the user remains on the Register page.</x:v>
      </x:c>
      <x:c r="I8" s="7" t="str">
        <x:v>The Register form prevents account creation, displays validation problems for required/invalid data, accepts the 8-character password boundary only in a blocked registration flow, and keeps the user on the registration page.</x:v>
      </x:c>
      <x:c r="J8" s="7" t="str">
        <x:v>Automate with RegisterPage POM. Do not use personal email. Do not complete a valid registration flow.</x:v>
      </x:c>
    </x:row>
  </x:sheetData>
  <x:mergeCells>
    <x:mergeCell ref="A1:J1"/>
  </x:mergeCells>
  <x:pageMargins left="0.7" right="0.7" top="0.75" bottom="0.75" header="0.3" footer="0.3"/>
  <x:tableParts count="1">
    <x:tablePart xmlns:r="http://schemas.openxmlformats.org/officeDocument/2006/relationships" r:id="R3fb1246783cf42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09000015258789" hidden="0" customWidth="1"/>
    <x:col min="2" max="2" width="8.079999923706055" hidden="0" customWidth="1"/>
    <x:col min="3" max="3" width="41.04999923706055" hidden="0" customWidth="1"/>
    <x:col min="4" max="4" width="43.7400016784668" hidden="0" customWidth="1"/>
    <x:col min="5" max="5" width="28.940000534057617" hidden="0" customWidth="1"/>
    <x:col min="6" max="6" width="30.280000686645508" hidden="0" customWidth="1"/>
  </x:cols>
  <x:sheetData>
    <x:row r="1" ht="25.5" customHeight="1">
      <x:c r="A1" s="4" t="str">
        <x:v>Detailed Test Steps</x:v>
      </x:c>
      <x:c r="B1" s="4" t="str">
        <x:v>Detailed Test Steps</x:v>
      </x:c>
      <x:c r="C1" s="4" t="str">
        <x:v>Detailed Test Steps</x:v>
      </x:c>
      <x:c r="D1" s="4" t="str">
        <x:v>Detailed Test Steps</x:v>
      </x:c>
      <x:c r="E1" s="4" t="str">
        <x:v>Detailed Test Steps</x:v>
      </x:c>
      <x:c r="F1" s="4" t="str">
        <x:v>Detailed Test Steps</x:v>
      </x:c>
    </x:row>
    <x:row r="3">
      <x:c r="A3" s="13" t="str">
        <x:v>TC ID</x:v>
      </x:c>
      <x:c r="B3" s="13" t="str">
        <x:v>Step</x:v>
      </x:c>
      <x:c r="C3" s="13" t="str">
        <x:v>Action</x:v>
      </x:c>
      <x:c r="D3" s="13" t="str">
        <x:v>Expected Result</x:v>
      </x:c>
      <x:c r="E3" s="13" t="str">
        <x:v>Comments</x:v>
      </x:c>
      <x:c r="F3" s="13" t="str">
        <x:v>Automation Hook</x:v>
      </x:c>
    </x:row>
    <x:row r="4" ht="45" customHeight="1">
      <x:c r="A4" s="7" t="str">
        <x:v>TC-01</x:v>
      </x:c>
      <x:c r="B4" s="7" t="n">
        <x:v>1</x:v>
      </x:c>
      <x:c r="C4" s="7" t="str">
        <x:v>Open the Redmine home page.</x:v>
      </x:c>
      <x:c r="D4" s="7" t="str">
        <x:v>The Redmine home page is displayed.</x:v>
      </x:c>
      <x:c r="E4" s="7" t="str">
        <x:v>Base domain is specified in preconditions/config.</x:v>
      </x:c>
      <x:c r="F4" s="7" t="str">
        <x:v>homePage.open()</x:v>
      </x:c>
    </x:row>
    <x:row r="5" ht="45" customHeight="1">
      <x:c r="A5" s="7" t="str">
        <x:v>TC-01</x:v>
      </x:c>
      <x:c r="B5" s="7" t="n">
        <x:v>2</x:v>
      </x:c>
      <x:c r="C5" s="7" t="str">
        <x:v>Verify the Redmine heading and main navigation items.</x:v>
      </x:c>
      <x:c r="D5" s="7" t="str">
        <x:v>The Redmine heading and Home, Projects, Help, Sign in, Register links are visible.</x:v>
      </x:c>
      <x:c r="E5" s="7" t="str"/>
      <x:c r="F5" s="7" t="str">
        <x:v>homePage.expectHeaderVisible()</x:v>
      </x:c>
    </x:row>
    <x:row r="6" ht="45" customHeight="1">
      <x:c r="A6" s="7" t="str">
        <x:v>TC-01</x:v>
      </x:c>
      <x:c r="B6" s="7" t="n">
        <x:v>3</x:v>
      </x:c>
      <x:c r="C6" s="7" t="str">
        <x:v>Verify Latest releases, Resources, and Wiki blocks.</x:v>
      </x:c>
      <x:c r="D6" s="7" t="str">
        <x:v>The informational side blocks are displayed with relevant links.</x:v>
      </x:c>
      <x:c r="E6" s="7" t="str"/>
      <x:c r="F6" s="7" t="str">
        <x:v>homePage.expectSidebarBlocks()</x:v>
      </x:c>
    </x:row>
    <x:row r="7" ht="45" customHeight="1">
      <x:c r="A7" s="7" t="str">
        <x:v>TC-01</x:v>
      </x:c>
      <x:c r="B7" s="7" t="n">
        <x:v>4</x:v>
      </x:c>
      <x:c r="C7" s="7" t="str">
        <x:v>Verify Features, Documentation, Online demo, Support, Contributing, Who uses Redmine?, and Redmine books sections.</x:v>
      </x:c>
      <x:c r="D7" s="7" t="str">
        <x:v>The main overview content is displayed and readable, including community usage and books sections.</x:v>
      </x:c>
      <x:c r="E7" s="7" t="str"/>
      <x:c r="F7" s="7" t="str">
        <x:v>homePage.expectOverviewSections()</x:v>
      </x:c>
    </x:row>
    <x:row r="8" ht="45" customHeight="1">
      <x:c r="A8" s="7" t="str">
        <x:v>TC-02</x:v>
      </x:c>
      <x:c r="B8" s="7" t="n">
        <x:v>1</x:v>
      </x:c>
      <x:c r="C8" s="7" t="str">
        <x:v>Open the Redmine project overview page.</x:v>
      </x:c>
      <x:c r="D8" s="7" t="str">
        <x:v>The Redmine project context is displayed.</x:v>
      </x:c>
      <x:c r="E8" s="7" t="str"/>
      <x:c r="F8" s="7" t="str">
        <x:v>projectPage.openOverview()</x:v>
      </x:c>
    </x:row>
    <x:row r="9" ht="45" customHeight="1">
      <x:c r="A9" s="7" t="str">
        <x:v>TC-02</x:v>
      </x:c>
      <x:c r="B9" s="7" t="n">
        <x:v>2</x:v>
      </x:c>
      <x:c r="C9" s="7" t="str">
        <x:v>Verify the Overview tab using the Project Tabs data set.</x:v>
      </x:c>
      <x:c r="D9" s="7" t="str">
        <x:v>The /projects/redmine page shows the Overview heading and project summary content.</x:v>
      </x:c>
      <x:c r="E9" s="7" t="str">
        <x:v>Data-driven sub-check, not a separate TC.</x:v>
      </x:c>
      <x:c r="F9" s="7" t="str">
        <x:v>projectPage.verifyTab(tabData.overview)</x:v>
      </x:c>
    </x:row>
    <x:row r="10" ht="45" customHeight="1">
      <x:c r="A10" s="7" t="str">
        <x:v>TC-02</x:v>
      </x:c>
      <x:c r="B10" s="7" t="n">
        <x:v>3</x:v>
      </x:c>
      <x:c r="C10" s="7" t="str">
        <x:v>Verify the Download tab using the Project Tabs data set.</x:v>
      </x:c>
      <x:c r="D10" s="7" t="str">
        <x:v>The /projects/redmine/wiki/Download page shows Download and Latest releases content.</x:v>
      </x:c>
      <x:c r="E10" s="7" t="str">
        <x:v>Data-driven sub-check, not a separate TC.</x:v>
      </x:c>
      <x:c r="F10" s="7" t="str">
        <x:v>projectPage.verifyTab(tabData.download)</x:v>
      </x:c>
    </x:row>
    <x:row r="11" ht="45" customHeight="1">
      <x:c r="A11" s="7" t="str">
        <x:v>TC-02</x:v>
      </x:c>
      <x:c r="B11" s="7" t="n">
        <x:v>4</x:v>
      </x:c>
      <x:c r="C11" s="7" t="str">
        <x:v>Verify the Activity tab using the Project Tabs data set.</x:v>
      </x:c>
      <x:c r="D11" s="7" t="str">
        <x:v>The /projects/redmine/activity page shows Activity filters and recent activity content.</x:v>
      </x:c>
      <x:c r="E11" s="7" t="str">
        <x:v>Data-driven sub-check, not a separate TC.</x:v>
      </x:c>
      <x:c r="F11" s="7" t="str">
        <x:v>projectPage.verifyTab(tabData.activity)</x:v>
      </x:c>
    </x:row>
    <x:row r="12" ht="45" customHeight="1">
      <x:c r="A12" s="7" t="str">
        <x:v>TC-02</x:v>
      </x:c>
      <x:c r="B12" s="7" t="n">
        <x:v>5</x:v>
      </x:c>
      <x:c r="C12" s="7" t="str">
        <x:v>Verify the Roadmap tab using the Project Tabs data set.</x:v>
      </x:c>
      <x:c r="D12" s="7" t="str">
        <x:v>The /projects/redmine/roadmap page shows Roadmap/version content.</x:v>
      </x:c>
      <x:c r="E12" s="7" t="str">
        <x:v>Data-driven sub-check, not a separate TC.</x:v>
      </x:c>
      <x:c r="F12" s="7" t="str">
        <x:v>projectPage.verifyTab(tabData.roadmap)</x:v>
      </x:c>
    </x:row>
    <x:row r="13" ht="45" customHeight="1">
      <x:c r="A13" s="7" t="str">
        <x:v>TC-02</x:v>
      </x:c>
      <x:c r="B13" s="7" t="n">
        <x:v>6</x:v>
      </x:c>
      <x:c r="C13" s="7" t="str">
        <x:v>Verify the Issues tab using the Project Tabs data set.</x:v>
      </x:c>
      <x:c r="D13" s="7" t="str">
        <x:v>The /projects/redmine/issues page shows Issues content and issue-list controls.</x:v>
      </x:c>
      <x:c r="E13" s="7" t="str">
        <x:v>Detailed Issues assertions are covered in TC-03.</x:v>
      </x:c>
      <x:c r="F13" s="7" t="str">
        <x:v>projectPage.verifyTab(tabData.issues)</x:v>
      </x:c>
    </x:row>
    <x:row r="14" ht="45" customHeight="1">
      <x:c r="A14" s="7" t="str">
        <x:v>TC-02</x:v>
      </x:c>
      <x:c r="B14" s="7" t="n">
        <x:v>7</x:v>
      </x:c>
      <x:c r="C14" s="7" t="str">
        <x:v>Verify the News tab using the Project Tabs data set.</x:v>
      </x:c>
      <x:c r="D14" s="7" t="str">
        <x:v>The /projects/redmine/news page shows News content and existing public news items.</x:v>
      </x:c>
      <x:c r="E14" s="7" t="str">
        <x:v>Data-driven sub-check, not a separate TC.</x:v>
      </x:c>
      <x:c r="F14" s="7" t="str">
        <x:v>projectPage.verifyTab(tabData.news)</x:v>
      </x:c>
    </x:row>
    <x:row r="15" ht="45" customHeight="1">
      <x:c r="A15" s="7" t="str">
        <x:v>TC-02</x:v>
      </x:c>
      <x:c r="B15" s="7" t="n">
        <x:v>8</x:v>
      </x:c>
      <x:c r="C15" s="7" t="str">
        <x:v>Verify the Wiki tab using the Project Tabs data set.</x:v>
      </x:c>
      <x:c r="D15" s="7" t="str">
        <x:v>The /projects/redmine/wiki page shows the wiki overview/start content.</x:v>
      </x:c>
      <x:c r="E15" s="7" t="str">
        <x:v>Data-driven sub-check, not a separate TC.</x:v>
      </x:c>
      <x:c r="F15" s="7" t="str">
        <x:v>projectPage.verifyTab(tabData.wiki)</x:v>
      </x:c>
    </x:row>
    <x:row r="16" ht="45" customHeight="1">
      <x:c r="A16" s="7" t="str">
        <x:v>TC-02</x:v>
      </x:c>
      <x:c r="B16" s="7" t="n">
        <x:v>9</x:v>
      </x:c>
      <x:c r="C16" s="7" t="str">
        <x:v>Verify the Forums tab using the Project Tabs data set.</x:v>
      </x:c>
      <x:c r="D16" s="7" t="str">
        <x:v>The /projects/redmine/boards page shows Forums/boards content.</x:v>
      </x:c>
      <x:c r="E16" s="7" t="str">
        <x:v>Data-driven sub-check, not a separate TC.</x:v>
      </x:c>
      <x:c r="F16" s="7" t="str">
        <x:v>projectPage.verifyTab(tabData.forums)</x:v>
      </x:c>
    </x:row>
    <x:row r="17" ht="45" customHeight="1">
      <x:c r="A17" s="7" t="str">
        <x:v>TC-03</x:v>
      </x:c>
      <x:c r="B17" s="7" t="n">
        <x:v>1</x:v>
      </x:c>
      <x:c r="C17" s="7" t="str">
        <x:v>Open the Redmine Issues page.</x:v>
      </x:c>
      <x:c r="D17" s="7" t="str">
        <x:v>The Issues page is displayed.</x:v>
      </x:c>
      <x:c r="E17" s="7" t="str"/>
      <x:c r="F17" s="7" t="str">
        <x:v>issuesPage.open()</x:v>
      </x:c>
    </x:row>
    <x:row r="18" ht="45" customHeight="1">
      <x:c r="A18" s="7" t="str">
        <x:v>TC-03</x:v>
      </x:c>
      <x:c r="B18" s="7" t="n">
        <x:v>2</x:v>
      </x:c>
      <x:c r="C18" s="7" t="str">
        <x:v>Verify the custom queries block.</x:v>
      </x:c>
      <x:c r="D18" s="7" t="str">
        <x:v>The expected custom query links are visible.</x:v>
      </x:c>
      <x:c r="E18" s="7" t="str"/>
      <x:c r="F18" s="7" t="str">
        <x:v>issuesPage.expectCustomQueries()</x:v>
      </x:c>
    </x:row>
    <x:row r="19" ht="45" customHeight="1">
      <x:c r="A19" s="7" t="str">
        <x:v>TC-03</x:v>
      </x:c>
      <x:c r="B19" s="7" t="n">
        <x:v>3</x:v>
      </x:c>
      <x:c r="C19" s="7" t="str">
        <x:v>Verify Filters, Options, Apply, and Clear controls.</x:v>
      </x:c>
      <x:c r="D19" s="7" t="str">
        <x:v>The issue filter area is available to the user.</x:v>
      </x:c>
      <x:c r="E19" s="7" t="str"/>
      <x:c r="F19" s="7" t="str">
        <x:v>issuesPage.expectFilterControls()</x:v>
      </x:c>
    </x:row>
    <x:row r="20" ht="45" customHeight="1">
      <x:c r="A20" s="7" t="str">
        <x:v>TC-03</x:v>
      </x:c>
      <x:c r="B20" s="7" t="n">
        <x:v>4</x:v>
      </x:c>
      <x:c r="C20" s="7" t="str">
        <x:v>Verify issue table core headers: #, Status, Subject, Updated.</x:v>
      </x:c>
      <x:c r="D20" s="7" t="str">
        <x:v>The public issue list table displays stable core columns.</x:v>
      </x:c>
      <x:c r="E20" s="7" t="str">
        <x:v>Avoid asserting exact issue IDs because the list changes.</x:v>
      </x:c>
      <x:c r="F20" s="7" t="str">
        <x:v>issuesPage.expectCoreIssueColumns(expectedIssueColumns.core)</x:v>
      </x:c>
    </x:row>
    <x:row r="21" ht="45" customHeight="1">
      <x:c r="A21" s="7" t="str">
        <x:v>TC-03</x:v>
      </x:c>
      <x:c r="B21" s="7" t="n">
        <x:v>5</x:v>
      </x:c>
      <x:c r="C21" s="7" t="str">
        <x:v>Verify tracker representation.</x:v>
      </x:c>
      <x:c r="D21" s="7" t="str">
        <x:v>Tracker is visible either as a separate Tracker column/header or as tracker label text in an issue row/subject area.</x:v>
      </x:c>
      <x:c r="E21" s="7" t="str">
        <x:v>Live markup may differ, so do not hard-code Tracker as mandatory &lt;th&gt; only.</x:v>
      </x:c>
      <x:c r="F21" s="7" t="str">
        <x:v>issuesPage.expectTrackerRepresentation()</x:v>
      </x:c>
    </x:row>
    <x:row r="22" ht="45" customHeight="1">
      <x:c r="A22" s="7" t="str">
        <x:v>TC-03</x:v>
      </x:c>
      <x:c r="B22" s="7" t="n">
        <x:v>6</x:v>
      </x:c>
      <x:c r="C22" s="7" t="str">
        <x:v>Verify Category column if it is selected/visible.</x:v>
      </x:c>
      <x:c r="D22" s="7" t="str">
        <x:v>When Category is visible in selected columns, the Category header and row cells are displayed.</x:v>
      </x:c>
      <x:c r="E22" s="7" t="str">
        <x:v>Optional assertion; do not fail the whole flow if the column is not selected.</x:v>
      </x:c>
      <x:c r="F22" s="7" t="str">
        <x:v>issuesPage.expectOptionalColumn('Category')</x:v>
      </x:c>
    </x:row>
    <x:row r="23" ht="45" customHeight="1">
      <x:c r="A23" s="7" t="str">
        <x:v>TC-03</x:v>
      </x:c>
      <x:c r="B23" s="7" t="n">
        <x:v>7</x:v>
      </x:c>
      <x:c r="C23" s="7" t="str">
        <x:v>Verify at least one issue row and pagination area.</x:v>
      </x:c>
      <x:c r="D23" s="7" t="str">
        <x:v>The list contains public issue rows and pagination/result-count controls are available.</x:v>
      </x:c>
      <x:c r="E23" s="7" t="str">
        <x:v>Assert structure and row presence, not exact newest issue.</x:v>
      </x:c>
      <x:c r="F23" s="7" t="str">
        <x:v>issuesPage.expectIssueRows()</x:v>
      </x:c>
    </x:row>
    <x:row r="24" ht="45" customHeight="1">
      <x:c r="A24" s="7" t="str">
        <x:v>TC-03</x:v>
      </x:c>
      <x:c r="B24" s="7" t="n">
        <x:v>8</x:v>
      </x:c>
      <x:c r="C24" s="7" t="str">
        <x:v>Open a safe custom query such as Open defects.</x:v>
      </x:c>
      <x:c r="D24" s="7" t="str">
        <x:v>The issue list remains available and the query context changes.</x:v>
      </x:c>
      <x:c r="E24" s="7" t="str"/>
      <x:c r="F24" s="7" t="str">
        <x:v>issuesPage.openCustomQuery('Open defects')</x:v>
      </x:c>
    </x:row>
    <x:row r="25" ht="45" customHeight="1">
      <x:c r="A25" s="7" t="str">
        <x:v>TC-04</x:v>
      </x:c>
      <x:c r="B25" s="7" t="n">
        <x:v>1</x:v>
      </x:c>
      <x:c r="C25" s="7" t="str">
        <x:v>Open the Redmine home page.</x:v>
      </x:c>
      <x:c r="D25" s="7" t="str">
        <x:v>The home page is displayed with the global search field.</x:v>
      </x:c>
      <x:c r="E25" s="7" t="str"/>
      <x:c r="F25" s="7" t="str">
        <x:v>homePage.open()</x:v>
      </x:c>
    </x:row>
    <x:row r="26" ht="45" customHeight="1">
      <x:c r="A26" s="7" t="str">
        <x:v>TC-04</x:v>
      </x:c>
      <x:c r="B26" s="7" t="n">
        <x:v>2</x:v>
      </x:c>
      <x:c r="C26" s="7" t="str">
        <x:v>Submit the valid query 'plugin' through the header search field.</x:v>
      </x:c>
      <x:c r="D26" s="7" t="str">
        <x:v>The global /search page is opened and the query is preserved.</x:v>
      </x:c>
      <x:c r="E26" s="7" t="str">
        <x:v>This is not project-specific /projects/redmine/search.</x:v>
      </x:c>
      <x:c r="F26" s="7" t="str">
        <x:v>searchPage.searchFromHeader('plugin')</x:v>
      </x:c>
    </x:row>
    <x:row r="27" ht="45" customHeight="1">
      <x:c r="A27" s="7" t="str">
        <x:v>TC-04</x:v>
      </x:c>
      <x:c r="B27" s="7" t="n">
        <x:v>3</x:v>
      </x:c>
      <x:c r="C27" s="7" t="str">
        <x:v>Verify query persistence and results area for the valid query.</x:v>
      </x:c>
      <x:c r="D27" s="7" t="str">
        <x:v>The query value is preserved and public results or result categories are shown.</x:v>
      </x:c>
      <x:c r="E27" s="7" t="str"/>
      <x:c r="F27" s="7" t="str">
        <x:v>searchPage.expectResultsFor('plugin')</x:v>
      </x:c>
    </x:row>
    <x:row r="28" ht="45" customHeight="1">
      <x:c r="A28" s="7" t="str">
        <x:v>TC-04</x:v>
      </x:c>
      <x:c r="B28" s="7" t="n">
        <x:v>4</x:v>
      </x:c>
      <x:c r="C28" s="7" t="str">
        <x:v>Repeat search with edge-case queries from Automation Data: empty, &lt;script&gt;, long string, and no-result query.</x:v>
      </x:c>
      <x:c r="D28" s="7" t="str">
        <x:v>Each query is routed to global /search and handled without server or UI errors.</x:v>
      </x:c>
      <x:c r="E28" s="7" t="str">
        <x:v>Negative variants inside the same Search case.</x:v>
      </x:c>
      <x:c r="F28" s="7" t="str">
        <x:v>searchPage.verifyQueryVariants(searchData)</x:v>
      </x:c>
    </x:row>
    <x:row r="29" ht="45" customHeight="1">
      <x:c r="A29" s="7" t="str">
        <x:v>TC-05</x:v>
      </x:c>
      <x:c r="B29" s="7" t="n">
        <x:v>1</x:v>
      </x:c>
      <x:c r="C29" s="7" t="str">
        <x:v>Open the Register page.</x:v>
      </x:c>
      <x:c r="D29" s="7" t="str">
        <x:v>The Register page is displayed.</x:v>
      </x:c>
      <x:c r="E29" s="7" t="str"/>
      <x:c r="F29" s="7" t="str">
        <x:v>registerPage.open()</x:v>
      </x:c>
    </x:row>
    <x:row r="30" ht="45" customHeight="1">
      <x:c r="A30" s="7" t="str">
        <x:v>TC-05</x:v>
      </x:c>
      <x:c r="B30" s="7" t="n">
        <x:v>2</x:v>
      </x:c>
      <x:c r="C30" s="7" t="str">
        <x:v>Verify required fields.</x:v>
      </x:c>
      <x:c r="D30" s="7" t="str">
        <x:v>Login, Password, Confirmation, First name, Last name, and Email fields are displayed.</x:v>
      </x:c>
      <x:c r="E30" s="7" t="str"/>
      <x:c r="F30" s="7" t="str">
        <x:v>registerPage.expectRequiredFields()</x:v>
      </x:c>
    </x:row>
    <x:row r="31" ht="45" customHeight="1">
      <x:c r="A31" s="7" t="str">
        <x:v>TC-05</x:v>
      </x:c>
      <x:c r="B31" s="7" t="n">
        <x:v>3</x:v>
      </x:c>
      <x:c r="C31" s="7" t="str">
        <x:v>Verify optional profile fields.</x:v>
      </x:c>
      <x:c r="D31" s="7" t="str">
        <x:v>Language, Organization, Location, IRC nick, and Hide my email fields/settings are displayed when available on the Register page.</x:v>
      </x:c>
      <x:c r="E31" s="7" t="str">
        <x:v>Presence assertion only.</x:v>
      </x:c>
      <x:c r="F31" s="7" t="str">
        <x:v>registerPage.expectOptionalFields()</x:v>
      </x:c>
    </x:row>
    <x:row r="32" ht="45" customHeight="1">
      <x:c r="A32" s="7" t="str">
        <x:v>TC-05</x:v>
      </x:c>
      <x:c r="B32" s="7" t="n">
        <x:v>4</x:v>
      </x:c>
      <x:c r="C32" s="7" t="str">
        <x:v>Submit the form with empty required fields.</x:v>
      </x:c>
      <x:c r="D32" s="7" t="str">
        <x:v>Validation errors are displayed and account creation is not completed.</x:v>
      </x:c>
      <x:c r="E32" s="7" t="str">
        <x:v>Do not create a real account.</x:v>
      </x:c>
      <x:c r="F32" s="7" t="str">
        <x:v>registerPage.submitEmptyForm()</x:v>
      </x:c>
    </x:row>
    <x:row r="33" ht="45" customHeight="1">
      <x:c r="A33" s="7" t="str">
        <x:v>TC-05</x:v>
      </x:c>
      <x:c r="B33" s="7" t="n">
        <x:v>5</x:v>
      </x:c>
      <x:c r="C33" s="7" t="str">
        <x:v>Enter short password data from Automation Data and submit.</x:v>
      </x:c>
      <x:c r="D33" s="7" t="str">
        <x:v>Password length validation is displayed and the user remains on Register.</x:v>
      </x:c>
      <x:c r="E33" s="7" t="str">
        <x:v>Use fake data only.</x:v>
      </x:c>
      <x:c r="F33" s="7" t="str">
        <x:v>registerPage.submitShortPassword(registerData.shortPassword)</x:v>
      </x:c>
    </x:row>
    <x:row r="34" ht="45" customHeight="1">
      <x:c r="A34" s="7" t="str">
        <x:v>TC-05</x:v>
      </x:c>
      <x:c r="B34" s="7" t="n">
        <x:v>6</x:v>
      </x:c>
      <x:c r="C34" s="7" t="str">
        <x:v>Enter exactly 8-character boundary password while leaving another required field invalid.</x:v>
      </x:c>
      <x:c r="D34" s="7" t="str">
        <x:v>No password length error is shown for the 8-character value, but registration remains blocked by another validation error.</x:v>
      </x:c>
      <x:c r="E34" s="7" t="str">
        <x:v>Boundary check must not create an account.</x:v>
      </x:c>
      <x:c r="F34" s="7" t="str">
        <x:v>registerPage.verifyPasswordBoundary(registerData.boundaryPassword)</x:v>
      </x:c>
    </x:row>
    <x:row r="35" ht="45" customHeight="1">
      <x:c r="A35" s="7" t="str">
        <x:v>TC-05</x:v>
      </x:c>
      <x:c r="B35" s="7" t="n">
        <x:v>7</x:v>
      </x:c>
      <x:c r="C35" s="7" t="str">
        <x:v>Enter password mismatch data from Automation Data and submit.</x:v>
      </x:c>
      <x:c r="D35" s="7" t="str">
        <x:v>Password confirmation validation is displayed and account creation is not completed.</x:v>
      </x:c>
      <x:c r="E35" s="7" t="str">
        <x:v>Use fake email only; do not complete a valid registration.</x:v>
      </x:c>
      <x:c r="F35" s="7" t="str">
        <x:v>registerPage.submitPasswordMismatch(registerData.passwordMismatch)</x:v>
      </x:c>
    </x:row>
  </x:sheetData>
  <x:mergeCells>
    <x:mergeCell ref="A1:F1"/>
  </x:mergeCells>
  <x:pageMargins left="0.7" right="0.7" top="0.75" bottom="0.75" header="0.3" footer="0.3"/>
  <x:tableParts count="1">
    <x:tablePart xmlns:r="http://schemas.openxmlformats.org/officeDocument/2006/relationships" r:id="R3ddfb9c778054d5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420000076293945" hidden="0" customWidth="1"/>
    <x:col min="2" max="2" width="27.59000015258789" hidden="0" customWidth="1"/>
    <x:col min="3" max="3" width="24.899999618530273" hidden="0" customWidth="1"/>
    <x:col min="4" max="4" width="20.190000534057617" hidden="0" customWidth="1"/>
    <x:col min="5" max="5" width="20.190000534057617" hidden="0" customWidth="1"/>
    <x:col min="6" max="6" width="12.109999656677246" hidden="0" customWidth="1"/>
    <x:col min="7" max="7" width="30.280000686645508" hidden="0" customWidth="1"/>
    <x:col min="8" max="8" width="30.280000686645508" hidden="0" customWidth="1"/>
  </x:cols>
  <x:sheetData>
    <x:row r="1" ht="25.5" customHeight="1">
      <x:c r="A1" s="4" t="str">
        <x:v>Automation Mapping and Allure Labels</x:v>
      </x:c>
      <x:c r="B1" s="4" t="str">
        <x:v>Automation Mapping and Allure Labels</x:v>
      </x:c>
      <x:c r="C1" s="4" t="str">
        <x:v>Automation Mapping and Allure Labels</x:v>
      </x:c>
      <x:c r="D1" s="4" t="str">
        <x:v>Automation Mapping and Allure Labels</x:v>
      </x:c>
      <x:c r="E1" s="4" t="str">
        <x:v>Automation Mapping and Allure Labels</x:v>
      </x:c>
      <x:c r="F1" s="4" t="str">
        <x:v>Automation Mapping and Allure Labels</x:v>
      </x:c>
      <x:c r="G1" s="4" t="str">
        <x:v>Automation Mapping and Allure Labels</x:v>
      </x:c>
      <x:c r="H1" s="4" t="str">
        <x:v>Automation Mapping and Allure Labels</x:v>
      </x:c>
    </x:row>
    <x:row r="3">
      <x:c r="A3" s="13" t="str">
        <x:v>TC ID</x:v>
      </x:c>
      <x:c r="B3" s="13" t="str">
        <x:v>Spec File</x:v>
      </x:c>
      <x:c r="C3" s="13" t="str">
        <x:v>Page Object</x:v>
      </x:c>
      <x:c r="D3" s="13" t="str">
        <x:v>Allure Epic</x:v>
      </x:c>
      <x:c r="E3" s="13" t="str">
        <x:v>Allure Feature</x:v>
      </x:c>
      <x:c r="F3" s="13" t="str">
        <x:v>Tag</x:v>
      </x:c>
      <x:c r="G3" s="13" t="str">
        <x:v>Risk</x:v>
      </x:c>
      <x:c r="H3" s="13" t="str">
        <x:v>Notes</x:v>
      </x:c>
    </x:row>
    <x:row r="4">
      <x:c r="A4" s="7" t="str">
        <x:v>TC-01</x:v>
      </x:c>
      <x:c r="B4" s="7" t="str">
        <x:v>tests/home.spec.js</x:v>
      </x:c>
      <x:c r="C4" s="7" t="str">
        <x:v>pages/HomePage.js</x:v>
      </x:c>
      <x:c r="D4" s="7" t="str">
        <x:v>Public Site</x:v>
      </x:c>
      <x:c r="E4" s="7" t="str">
        <x:v>Home</x:v>
      </x:c>
      <x:c r="F4" s="7" t="str">
        <x:v>@smoke</x:v>
      </x:c>
      <x:c r="G4" s="7" t="str">
        <x:v>Low dynamic data risk</x:v>
      </x:c>
      <x:c r="H4" s="7" t="str">
        <x:v>Stable content checks; release values may change.</x:v>
      </x:c>
    </x:row>
    <x:row r="5">
      <x:c r="A5" s="7" t="str">
        <x:v>TC-02</x:v>
      </x:c>
      <x:c r="B5" s="7" t="str">
        <x:v>tests/project-navigation.spec.js</x:v>
      </x:c>
      <x:c r="C5" s="7" t="str">
        <x:v>pages/ProjectPage.js</x:v>
      </x:c>
      <x:c r="D5" s="7" t="str">
        <x:v>Public Site</x:v>
      </x:c>
      <x:c r="E5" s="7" t="str">
        <x:v>Project Navigation</x:v>
      </x:c>
      <x:c r="F5" s="7" t="str">
        <x:v>@smoke</x:v>
      </x:c>
      <x:c r="G5" s="7" t="str">
        <x:v>Medium dynamic navigation risk</x:v>
      </x:c>
      <x:c r="H5" s="7" t="str">
        <x:v>Use tab data array and assert headings/URLs.</x:v>
      </x:c>
    </x:row>
    <x:row r="6">
      <x:c r="A6" s="7" t="str">
        <x:v>TC-03</x:v>
      </x:c>
      <x:c r="B6" s="7" t="str">
        <x:v>tests/issues.spec.js</x:v>
      </x:c>
      <x:c r="C6" s="7" t="str">
        <x:v>pages/IssuesPage.js</x:v>
      </x:c>
      <x:c r="D6" s="7" t="str">
        <x:v>Issue Tracking</x:v>
      </x:c>
      <x:c r="E6" s="7" t="str">
        <x:v>Issues List</x:v>
      </x:c>
      <x:c r="F6" s="7" t="str">
        <x:v>@regression</x:v>
      </x:c>
      <x:c r="G6" s="7" t="str">
        <x:v>High dynamic data risk</x:v>
      </x:c>
      <x:c r="H6" s="7" t="str">
        <x:v>Assert core table structure; Tracker uses fallback representation check.</x:v>
      </x:c>
    </x:row>
    <x:row r="7">
      <x:c r="A7" s="7" t="str">
        <x:v>TC-04</x:v>
      </x:c>
      <x:c r="B7" s="7" t="str">
        <x:v>tests/search.spec.js</x:v>
      </x:c>
      <x:c r="C7" s="7" t="str">
        <x:v>pages/SearchPage.js</x:v>
      </x:c>
      <x:c r="D7" s="7" t="str">
        <x:v>Public Site</x:v>
      </x:c>
      <x:c r="E7" s="7" t="str">
        <x:v>Global Search</x:v>
      </x:c>
      <x:c r="F7" s="7" t="str">
        <x:v>@regression</x:v>
      </x:c>
      <x:c r="G7" s="7" t="str">
        <x:v>Medium search-result risk</x:v>
      </x:c>
      <x:c r="H7" s="7" t="str">
        <x:v>Header search targets global /search; query variants stored in Automation Data.</x:v>
      </x:c>
    </x:row>
    <x:row r="8">
      <x:c r="A8" s="7" t="str">
        <x:v>TC-05</x:v>
      </x:c>
      <x:c r="B8" s="7" t="str">
        <x:v>tests/register.spec.js</x:v>
      </x:c>
      <x:c r="C8" s="7" t="str">
        <x:v>pages/RegisterPage.js</x:v>
      </x:c>
      <x:c r="D8" s="7" t="str">
        <x:v>Authentication</x:v>
      </x:c>
      <x:c r="E8" s="7" t="str">
        <x:v>Register Validation</x:v>
      </x:c>
      <x:c r="F8" s="7" t="str">
        <x:v>@regression</x:v>
      </x:c>
      <x:c r="G8" s="7" t="str">
        <x:v>Low safety risk</x:v>
      </x:c>
      <x:c r="H8" s="7" t="str">
        <x:v>No valid registration data; boundary password check must keep registration blocked.</x:v>
      </x:c>
    </x:row>
    <x:row r="9">
      <x:c r="A9" s="7" t="str">
        <x:v>Shared</x:v>
      </x:c>
      <x:c r="B9" s="7" t="str">
        <x:v>components/header.component.js</x:v>
      </x:c>
      <x:c r="C9" s="7" t="str">
        <x:v>components/HeaderComponent.js</x:v>
      </x:c>
      <x:c r="D9" s="7" t="str">
        <x:v>Shared Components</x:v>
      </x:c>
      <x:c r="E9" s="7" t="str">
        <x:v>Header</x:v>
      </x:c>
      <x:c r="F9" s="7" t="str">
        <x:v>@component</x:v>
      </x:c>
      <x:c r="G9" s="7" t="str">
        <x:v>Low dynamic data risk</x:v>
      </x:c>
      <x:c r="H9" s="7" t="str">
        <x:v>Used by HomePage, ProjectPage, SearchPage, RegisterPage for Home, Projects, Help, Sign in, Register, and search field.</x:v>
      </x:c>
    </x:row>
    <x:row r="10">
      <x:c r="A10" s="7" t="str">
        <x:v>Shared</x:v>
      </x:c>
      <x:c r="B10" s="7" t="str">
        <x:v>components/footer.component.js</x:v>
      </x:c>
      <x:c r="C10" s="7" t="str">
        <x:v>components/FooterComponent.js</x:v>
      </x:c>
      <x:c r="D10" s="7" t="str">
        <x:v>Shared Components</x:v>
      </x:c>
      <x:c r="E10" s="7" t="str">
        <x:v>Footer</x:v>
      </x:c>
      <x:c r="F10" s="7" t="str">
        <x:v>@component</x:v>
      </x:c>
      <x:c r="G10" s="7" t="str">
        <x:v>Low dynamic data risk</x:v>
      </x:c>
      <x:c r="H10" s="7" t="str">
        <x:v>Used across pages to verify Powered by Redmine footer and common footer stability.</x:v>
      </x:c>
    </x:row>
    <x:row r="11">
      <x:c r="A11" s="7" t="str">
        <x:v>Quality Gate</x:v>
      </x:c>
      <x:c r="B11" s="7" t="str">
        <x:v>tests/quality-gates.spec.js</x:v>
      </x:c>
      <x:c r="C11" s="7" t="str">
        <x:v>support/consoleErrors.js</x:v>
      </x:c>
      <x:c r="D11" s="7" t="str">
        <x:v>Quality Gates</x:v>
      </x:c>
      <x:c r="E11" s="7" t="str">
        <x:v>Console Errors</x:v>
      </x:c>
      <x:c r="F11" s="7" t="str">
        <x:v>@quality</x:v>
      </x:c>
      <x:c r="G11" s="7" t="str">
        <x:v>Medium environment risk</x:v>
      </x:c>
      <x:c r="H11" s="7" t="str">
        <x:v>Shared check for unexpected console errors on key public pages.</x:v>
      </x:c>
    </x:row>
    <x:row r="12">
      <x:c r="A12" s="7" t="str">
        <x:v>Quality Gate</x:v>
      </x:c>
      <x:c r="B12" s="7" t="str">
        <x:v>tests/quality-gates.spec.js</x:v>
      </x:c>
      <x:c r="C12" s="7" t="str">
        <x:v>support/accessibility.js</x:v>
      </x:c>
      <x:c r="D12" s="7" t="str">
        <x:v>Quality Gates</x:v>
      </x:c>
      <x:c r="E12" s="7" t="str">
        <x:v>Accessibility</x:v>
      </x:c>
      <x:c r="F12" s="7" t="str">
        <x:v>@quality</x:v>
      </x:c>
      <x:c r="G12" s="7" t="str">
        <x:v>Medium tooling risk</x:v>
      </x:c>
      <x:c r="H12" s="7" t="str">
        <x:v>Lightweight accessibility smoke, not full WCAG audit.</x:v>
      </x:c>
    </x:row>
    <x:row r="13">
      <x:c r="A13" s="7" t="str">
        <x:v>Quality Gate</x:v>
      </x:c>
      <x:c r="B13" s="7" t="str">
        <x:v>tests/responsive.spec.js</x:v>
      </x:c>
      <x:c r="C13" s="7" t="str">
        <x:v>support/viewports.js</x:v>
      </x:c>
      <x:c r="D13" s="7" t="str">
        <x:v>Quality Gates</x:v>
      </x:c>
      <x:c r="E13" s="7" t="str">
        <x:v>Responsive</x:v>
      </x:c>
      <x:c r="F13" s="7" t="str">
        <x:v>@quality</x:v>
      </x:c>
      <x:c r="G13" s="7" t="str">
        <x:v>Medium viewport risk</x:v>
      </x:c>
      <x:c r="H13" s="7" t="str">
        <x:v>Shared viewport smoke for header, content, and footer visibility.</x:v>
      </x:c>
    </x:row>
  </x:sheetData>
  <x:mergeCells>
    <x:mergeCell ref="A1:H1"/>
  </x:mergeCells>
  <x:pageMargins left="0.7" right="0.7" top="0.75" bottom="0.75" header="0.3" footer="0.3"/>
  <x:tableParts count="1">
    <x:tablePart xmlns:r="http://schemas.openxmlformats.org/officeDocument/2006/relationships" r:id="R96ad82fa04f6480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420000076293945" hidden="0" customWidth="1"/>
    <x:col min="2" max="2" width="19.520000457763672" hidden="0" customWidth="1"/>
    <x:col min="3" max="3" width="22.209999084472656" hidden="0" customWidth="1"/>
    <x:col min="4" max="4" width="34.31999969482422" hidden="0" customWidth="1"/>
    <x:col min="5" max="5" width="34.31999969482422" hidden="0" customWidth="1"/>
    <x:col min="6" max="6" width="47.779998779296875" hidden="0" customWidth="1"/>
  </x:cols>
  <x:sheetData>
    <x:row r="1" ht="25.5" customHeight="1">
      <x:c r="A1" s="4" t="str">
        <x:v>Automation Data Sets</x:v>
      </x:c>
      <x:c r="B1" s="4" t="str">
        <x:v>Automation Data Sets</x:v>
      </x:c>
      <x:c r="C1" s="4" t="str">
        <x:v>Automation Data Sets</x:v>
      </x:c>
      <x:c r="D1" s="4" t="str">
        <x:v>Automation Data Sets</x:v>
      </x:c>
      <x:c r="E1" s="4" t="str">
        <x:v>Automation Data Sets</x:v>
      </x:c>
      <x:c r="F1" s="4" t="str">
        <x:v>Automation Data Sets</x:v>
      </x:c>
    </x:row>
    <x:row r="3">
      <x:c r="A3" s="13" t="str">
        <x:v>TC ID</x:v>
      </x:c>
      <x:c r="B3" s="13" t="str">
        <x:v>Data Set</x:v>
      </x:c>
      <x:c r="C3" s="13" t="str">
        <x:v>Input / Item</x:v>
      </x:c>
      <x:c r="D3" s="13" t="str">
        <x:v>URL or Value</x:v>
      </x:c>
      <x:c r="E3" s="13" t="str">
        <x:v>Expected Heading / Content</x:v>
      </x:c>
      <x:c r="F3" s="13" t="str">
        <x:v>Stable Assertion</x:v>
      </x:c>
    </x:row>
    <x:row r="4" ht="43.5" customHeight="1">
      <x:c r="A4" s="7" t="str">
        <x:v>TC-02</x:v>
      </x:c>
      <x:c r="B4" s="7" t="str">
        <x:v>Project Tabs</x:v>
      </x:c>
      <x:c r="C4" s="7" t="str">
        <x:v>Overview</x:v>
      </x:c>
      <x:c r="D4" s="7" t="str">
        <x:v>/projects/redmine</x:v>
      </x:c>
      <x:c r="E4" s="7" t="str">
        <x:v>Overview</x:v>
      </x:c>
      <x:c r="F4" s="7" t="str">
        <x:v>Project navigation is visible and the Redmine project context is preserved.</x:v>
      </x:c>
    </x:row>
    <x:row r="5" ht="43.5" customHeight="1">
      <x:c r="A5" s="7" t="str">
        <x:v>TC-02</x:v>
      </x:c>
      <x:c r="B5" s="7" t="str">
        <x:v>Project Tabs</x:v>
      </x:c>
      <x:c r="C5" s="7" t="str">
        <x:v>Download</x:v>
      </x:c>
      <x:c r="D5" s="7" t="str">
        <x:v>/projects/redmine/wiki/Download</x:v>
      </x:c>
      <x:c r="E5" s="7" t="str">
        <x:v>Download / Latest releases</x:v>
      </x:c>
      <x:c r="F5" s="7" t="str">
        <x:v>Download content is visible; do not assert exact latest version numbers.</x:v>
      </x:c>
    </x:row>
    <x:row r="6" ht="43.5" customHeight="1">
      <x:c r="A6" s="7" t="str">
        <x:v>TC-02</x:v>
      </x:c>
      <x:c r="B6" s="7" t="str">
        <x:v>Project Tabs</x:v>
      </x:c>
      <x:c r="C6" s="7" t="str">
        <x:v>Activity</x:v>
      </x:c>
      <x:c r="D6" s="7" t="str">
        <x:v>/projects/redmine/activity</x:v>
      </x:c>
      <x:c r="E6" s="7" t="str">
        <x:v>Activity</x:v>
      </x:c>
      <x:c r="F6" s="7" t="str">
        <x:v>Activity filters or recent activity area is visible.</x:v>
      </x:c>
    </x:row>
    <x:row r="7" ht="43.5" customHeight="1">
      <x:c r="A7" s="7" t="str">
        <x:v>TC-02</x:v>
      </x:c>
      <x:c r="B7" s="7" t="str">
        <x:v>Project Tabs</x:v>
      </x:c>
      <x:c r="C7" s="7" t="str">
        <x:v>Roadmap</x:v>
      </x:c>
      <x:c r="D7" s="7" t="str">
        <x:v>/projects/redmine/roadmap</x:v>
      </x:c>
      <x:c r="E7" s="7" t="str">
        <x:v>Roadmap</x:v>
      </x:c>
      <x:c r="F7" s="7" t="str">
        <x:v>Roadmap/version content is visible.</x:v>
      </x:c>
    </x:row>
    <x:row r="8" ht="43.5" customHeight="1">
      <x:c r="A8" s="7" t="str">
        <x:v>TC-02</x:v>
      </x:c>
      <x:c r="B8" s="7" t="str">
        <x:v>Project Tabs</x:v>
      </x:c>
      <x:c r="C8" s="7" t="str">
        <x:v>Issues</x:v>
      </x:c>
      <x:c r="D8" s="7" t="str">
        <x:v>/projects/redmine/issues</x:v>
      </x:c>
      <x:c r="E8" s="7" t="str">
        <x:v>Issues</x:v>
      </x:c>
      <x:c r="F8" s="7" t="str">
        <x:v>Issue filters, options, and table area are visible.</x:v>
      </x:c>
    </x:row>
    <x:row r="9" ht="43.5" customHeight="1">
      <x:c r="A9" s="7" t="str">
        <x:v>TC-02</x:v>
      </x:c>
      <x:c r="B9" s="7" t="str">
        <x:v>Project Tabs</x:v>
      </x:c>
      <x:c r="C9" s="7" t="str">
        <x:v>News</x:v>
      </x:c>
      <x:c r="D9" s="7" t="str">
        <x:v>/projects/redmine/news</x:v>
      </x:c>
      <x:c r="E9" s="7" t="str">
        <x:v>News</x:v>
      </x:c>
      <x:c r="F9" s="7" t="str">
        <x:v>Public news items are visible; do not create news.</x:v>
      </x:c>
    </x:row>
    <x:row r="10" ht="43.5" customHeight="1">
      <x:c r="A10" s="7" t="str">
        <x:v>TC-02</x:v>
      </x:c>
      <x:c r="B10" s="7" t="str">
        <x:v>Project Tabs</x:v>
      </x:c>
      <x:c r="C10" s="7" t="str">
        <x:v>Wiki</x:v>
      </x:c>
      <x:c r="D10" s="7" t="str">
        <x:v>/projects/redmine/wiki</x:v>
      </x:c>
      <x:c r="E10" s="7" t="str">
        <x:v>Wiki / Overview</x:v>
      </x:c>
      <x:c r="F10" s="7" t="str">
        <x:v>Wiki content or index/start page area is visible.</x:v>
      </x:c>
    </x:row>
    <x:row r="11" ht="43.5" customHeight="1">
      <x:c r="A11" s="7" t="str">
        <x:v>TC-02</x:v>
      </x:c>
      <x:c r="B11" s="7" t="str">
        <x:v>Project Tabs</x:v>
      </x:c>
      <x:c r="C11" s="7" t="str">
        <x:v>Forums</x:v>
      </x:c>
      <x:c r="D11" s="7" t="str">
        <x:v>/projects/redmine/boards</x:v>
      </x:c>
      <x:c r="E11" s="7" t="str">
        <x:v>Forums</x:v>
      </x:c>
      <x:c r="F11" s="7" t="str">
        <x:v>Forum boards/messages area is visible.</x:v>
      </x:c>
    </x:row>
    <x:row r="12" ht="43.5" customHeight="1"/>
    <x:row r="13" ht="43.5" customHeight="1"/>
    <x:row r="14" ht="43.5" customHeight="1">
      <x:c r="A14" s="13" t="str">
        <x:v>TC ID</x:v>
      </x:c>
      <x:c r="B14" s="13" t="str">
        <x:v>Data Set</x:v>
      </x:c>
      <x:c r="C14" s="13" t="str">
        <x:v>Input / Item</x:v>
      </x:c>
      <x:c r="D14" s="13" t="str">
        <x:v>URL or Value</x:v>
      </x:c>
      <x:c r="E14" s="13" t="str">
        <x:v>Expected Heading / Content</x:v>
      </x:c>
      <x:c r="F14" s="13" t="str">
        <x:v>Stable Assertion</x:v>
      </x:c>
    </x:row>
    <x:row r="15" ht="43.5" customHeight="1">
      <x:c r="A15" s="7" t="str">
        <x:v>TC-03</x:v>
      </x:c>
      <x:c r="B15" s="7" t="str">
        <x:v>Issue Columns</x:v>
      </x:c>
      <x:c r="C15" s="7" t="str">
        <x:v>#</x:v>
      </x:c>
      <x:c r="D15" s="7" t="str">
        <x:v>Core column header</x:v>
      </x:c>
      <x:c r="E15" s="7" t="str">
        <x:v>Issue number column</x:v>
      </x:c>
      <x:c r="F15" s="7" t="str">
        <x:v>Header is visible; issue values may change.</x:v>
      </x:c>
    </x:row>
    <x:row r="16" ht="43.5" customHeight="1">
      <x:c r="A16" s="7" t="str">
        <x:v>TC-03</x:v>
      </x:c>
      <x:c r="B16" s="7" t="str">
        <x:v>Issue Columns</x:v>
      </x:c>
      <x:c r="C16" s="7" t="str">
        <x:v>Status</x:v>
      </x:c>
      <x:c r="D16" s="7" t="str">
        <x:v>Core column header</x:v>
      </x:c>
      <x:c r="E16" s="7" t="str">
        <x:v>Issue status column</x:v>
      </x:c>
      <x:c r="F16" s="7" t="str">
        <x:v>Header is visible.</x:v>
      </x:c>
    </x:row>
    <x:row r="17" ht="43.5" customHeight="1">
      <x:c r="A17" s="7" t="str">
        <x:v>TC-03</x:v>
      </x:c>
      <x:c r="B17" s="7" t="str">
        <x:v>Issue Columns</x:v>
      </x:c>
      <x:c r="C17" s="7" t="str">
        <x:v>Subject</x:v>
      </x:c>
      <x:c r="D17" s="7" t="str">
        <x:v>Core column header</x:v>
      </x:c>
      <x:c r="E17" s="7" t="str">
        <x:v>Issue subject column</x:v>
      </x:c>
      <x:c r="F17" s="7" t="str">
        <x:v>Header is visible.</x:v>
      </x:c>
    </x:row>
    <x:row r="18" ht="43.5" customHeight="1">
      <x:c r="A18" s="7" t="str">
        <x:v>TC-03</x:v>
      </x:c>
      <x:c r="B18" s="7" t="str">
        <x:v>Issue Columns</x:v>
      </x:c>
      <x:c r="C18" s="7" t="str">
        <x:v>Updated</x:v>
      </x:c>
      <x:c r="D18" s="7" t="str">
        <x:v>Core column header</x:v>
      </x:c>
      <x:c r="E18" s="7" t="str">
        <x:v>Last update column</x:v>
      </x:c>
      <x:c r="F18" s="7" t="str">
        <x:v>Header is visible.</x:v>
      </x:c>
    </x:row>
    <x:row r="19" ht="43.5" customHeight="1">
      <x:c r="A19" s="7" t="str">
        <x:v>TC-03</x:v>
      </x:c>
      <x:c r="B19" s="7" t="str">
        <x:v>Tracker Representation</x:v>
      </x:c>
      <x:c r="C19" s="7" t="str">
        <x:v>Tracker</x:v>
      </x:c>
      <x:c r="D19" s="7" t="str">
        <x:v>Header or issue-row label</x:v>
      </x:c>
      <x:c r="E19" s="7" t="str">
        <x:v>Issue type/tracker information</x:v>
      </x:c>
      <x:c r="F19" s="7" t="str">
        <x:v>Pass if Tracker is a separate header OR a tracker label such as Feature/Defect/Patch appears with issue row content.</x:v>
      </x:c>
    </x:row>
    <x:row r="20" ht="43.5" customHeight="1">
      <x:c r="A20" s="7" t="str">
        <x:v>TC-03</x:v>
      </x:c>
      <x:c r="B20" s="7" t="str">
        <x:v>Optional Columns</x:v>
      </x:c>
      <x:c r="C20" s="7" t="str">
        <x:v>Category</x:v>
      </x:c>
      <x:c r="D20" s="7" t="str">
        <x:v>Optional selected column</x:v>
      </x:c>
      <x:c r="E20" s="7" t="str">
        <x:v>Category column</x:v>
      </x:c>
      <x:c r="F20" s="7" t="str">
        <x:v>Check only when visible/selected; do not hard-fail when absent.</x:v>
      </x:c>
    </x:row>
    <x:row r="21" ht="43.5" customHeight="1">
      <x:c r="A21" s="7" t="str">
        <x:v>TC-03</x:v>
      </x:c>
      <x:c r="B21" s="7" t="str">
        <x:v>Custom Queries</x:v>
      </x:c>
      <x:c r="C21" s="7" t="str">
        <x:v>Open defects</x:v>
      </x:c>
      <x:c r="D21" s="7" t="str">
        <x:v>/projects/redmine/issues?query_id=1</x:v>
      </x:c>
      <x:c r="E21" s="7" t="str">
        <x:v>Issues</x:v>
      </x:c>
      <x:c r="F21" s="7" t="str">
        <x:v>The issue list remains visible after opening the query.</x:v>
      </x:c>
    </x:row>
    <x:row r="22" ht="43.5" customHeight="1"/>
    <x:row r="23" ht="43.5" customHeight="1"/>
    <x:row r="24" ht="43.5" customHeight="1">
      <x:c r="A24" s="13" t="str">
        <x:v>TC ID</x:v>
      </x:c>
      <x:c r="B24" s="13" t="str">
        <x:v>Data Set</x:v>
      </x:c>
      <x:c r="C24" s="13" t="str">
        <x:v>Input / Item</x:v>
      </x:c>
      <x:c r="D24" s="13" t="str">
        <x:v>URL or Value</x:v>
      </x:c>
      <x:c r="E24" s="13" t="str">
        <x:v>Expected Heading / Content</x:v>
      </x:c>
      <x:c r="F24" s="13" t="str">
        <x:v>Stable Assertion</x:v>
      </x:c>
    </x:row>
    <x:row r="25" ht="43.5" customHeight="1">
      <x:c r="A25" s="7" t="str">
        <x:v>TC-04</x:v>
      </x:c>
      <x:c r="B25" s="7" t="str">
        <x:v>Search Queries</x:v>
      </x:c>
      <x:c r="C25" s="7" t="str">
        <x:v>Valid query</x:v>
      </x:c>
      <x:c r="D25" s="7" t="str">
        <x:v>plugin</x:v>
      </x:c>
      <x:c r="E25" s="7" t="str">
        <x:v>Global /search</x:v>
      </x:c>
      <x:c r="F25" s="7" t="str">
        <x:v>Query is preserved and at least one result or result category is shown.</x:v>
      </x:c>
    </x:row>
    <x:row r="26" ht="43.5" customHeight="1">
      <x:c r="A26" s="7" t="str">
        <x:v>TC-04</x:v>
      </x:c>
      <x:c r="B26" s="7" t="str">
        <x:v>Search Queries</x:v>
      </x:c>
      <x:c r="C26" s="7" t="str">
        <x:v>Empty query</x:v>
      </x:c>
      <x:c r="D26" s="7" t="str"/>
      <x:c r="E26" s="7" t="str">
        <x:v>Global /search or unchanged safe state</x:v>
      </x:c>
      <x:c r="F26" s="7" t="str">
        <x:v>No server/UI error; form handles empty input gracefully.</x:v>
      </x:c>
    </x:row>
    <x:row r="27" ht="43.5" customHeight="1">
      <x:c r="A27" s="7" t="str">
        <x:v>TC-04</x:v>
      </x:c>
      <x:c r="B27" s="7" t="str">
        <x:v>Search Queries</x:v>
      </x:c>
      <x:c r="C27" s="7" t="str">
        <x:v>Special characters</x:v>
      </x:c>
      <x:c r="D27" s="7" t="str">
        <x:v>&lt;script&gt;</x:v>
      </x:c>
      <x:c r="E27" s="7" t="str">
        <x:v>Global /search</x:v>
      </x:c>
      <x:c r="F27" s="7" t="str">
        <x:v>Input is escaped or treated as text; no script execution and no server/UI error.</x:v>
      </x:c>
    </x:row>
    <x:row r="28" ht="43.5" customHeight="1">
      <x:c r="A28" s="7" t="str">
        <x:v>TC-04</x:v>
      </x:c>
      <x:c r="B28" s="7" t="str">
        <x:v>Search Queries</x:v>
      </x:c>
      <x:c r="C28" s="7" t="str">
        <x:v>Long query</x:v>
      </x:c>
      <x:c r="D28" s="7" t="str">
        <x:v>redmine-search-long-query-aaaaaaaaaaaaaaaaaaaaaaaaaaaaaaaaaaaaaaaaaaaaaaaaaaaaaaaaaaaaaaaaaaaaaaaaaaaaaaaaaaaaaaaaaaaaaaaaaaaaaaaaaaaaaaaaaaaaaaaaaaaaaaaaaaaaaaaaaaaaaaaaaaaaaaaaaaaaaaaaaaaaaaaaaaaaaaaaaaaaaaaaaaaaaaaaaaaaaaaaaaaaaaaaaaaaaaaaaaaaaaaa</x:v>
      </x:c>
      <x:c r="E28" s="7" t="str">
        <x:v>Global /search</x:v>
      </x:c>
      <x:c r="F28" s="7" t="str">
        <x:v>Long input is handled without layout break, server error, or unsafe rendering.</x:v>
      </x:c>
    </x:row>
    <x:row r="29" ht="43.5" customHeight="1">
      <x:c r="A29" s="7" t="str">
        <x:v>TC-04</x:v>
      </x:c>
      <x:c r="B29" s="7" t="str">
        <x:v>Search Queries</x:v>
      </x:c>
      <x:c r="C29" s="7" t="str">
        <x:v>No-result query</x:v>
      </x:c>
      <x:c r="D29" s="7" t="str">
        <x:v>redmine-no-result-qa-2026</x:v>
      </x:c>
      <x:c r="E29" s="7" t="str">
        <x:v>Global /search</x:v>
      </x:c>
      <x:c r="F29" s="7" t="str">
        <x:v>No server/UI error; empty state or zero result rows is handled gracefully.</x:v>
      </x:c>
    </x:row>
    <x:row r="30" ht="43.5" customHeight="1"/>
    <x:row r="31" ht="43.5" customHeight="1"/>
    <x:row r="32" ht="43.5" customHeight="1">
      <x:c r="A32" s="13" t="str">
        <x:v>TC ID</x:v>
      </x:c>
      <x:c r="B32" s="13" t="str">
        <x:v>Data Set</x:v>
      </x:c>
      <x:c r="C32" s="13" t="str">
        <x:v>Input / Item</x:v>
      </x:c>
      <x:c r="D32" s="13" t="str">
        <x:v>URL or Value</x:v>
      </x:c>
      <x:c r="E32" s="13" t="str">
        <x:v>Expected Heading / Content</x:v>
      </x:c>
      <x:c r="F32" s="13" t="str">
        <x:v>Stable Assertion</x:v>
      </x:c>
    </x:row>
    <x:row r="33" ht="43.5" customHeight="1">
      <x:c r="A33" s="7" t="str">
        <x:v>TC-05</x:v>
      </x:c>
      <x:c r="B33" s="7" t="str">
        <x:v>Register Validation</x:v>
      </x:c>
      <x:c r="C33" s="7" t="str">
        <x:v>Empty required fields</x:v>
      </x:c>
      <x:c r="D33" s="7" t="str">
        <x:v>Submit without filling Login, Password, Confirmation, First name, Last name, Email</x:v>
      </x:c>
      <x:c r="E33" s="7" t="str">
        <x:v>Validation errors</x:v>
      </x:c>
      <x:c r="F33" s="7" t="str">
        <x:v>Account is not created and user remains on Register.</x:v>
      </x:c>
    </x:row>
    <x:row r="34" ht="43.5" customHeight="1">
      <x:c r="A34" s="7" t="str">
        <x:v>TC-05</x:v>
      </x:c>
      <x:c r="B34" s="7" t="str">
        <x:v>Register Validation</x:v>
      </x:c>
      <x:c r="C34" s="7" t="str">
        <x:v>Short password</x:v>
      </x:c>
      <x:c r="D34" s="7" t="str">
        <x:v>short7</x:v>
      </x:c>
      <x:c r="E34" s="7" t="str">
        <x:v>Password length validation</x:v>
      </x:c>
      <x:c r="F34" s="7" t="str">
        <x:v>Account is not created and user remains on Register.</x:v>
      </x:c>
    </x:row>
    <x:row r="35" ht="43.5" customHeight="1">
      <x:c r="A35" s="7" t="str">
        <x:v>TC-05</x:v>
      </x:c>
      <x:c r="B35" s="7" t="str">
        <x:v>Register Validation</x:v>
      </x:c>
      <x:c r="C35" s="7" t="str">
        <x:v>Boundary password</x:v>
      </x:c>
      <x:c r="D35" s="7" t="str">
        <x:v>Passw0rd</x:v>
      </x:c>
      <x:c r="E35" s="7" t="str">
        <x:v>No password length error for exactly 8 characters</x:v>
      </x:c>
      <x:c r="F35" s="7" t="str">
        <x:v>Leave another required field invalid so registration remains blocked.</x:v>
      </x:c>
    </x:row>
    <x:row r="36" ht="43.5" customHeight="1">
      <x:c r="A36" s="7" t="str">
        <x:v>TC-05</x:v>
      </x:c>
      <x:c r="B36" s="7" t="str">
        <x:v>Register Validation</x:v>
      </x:c>
      <x:c r="C36" s="7" t="str">
        <x:v>Password mismatch</x:v>
      </x:c>
      <x:c r="D36" s="7" t="str">
        <x:v>ValidPass123! / Mismatch123!</x:v>
      </x:c>
      <x:c r="E36" s="7" t="str">
        <x:v>Password confirmation validation</x:v>
      </x:c>
      <x:c r="F36" s="7" t="str">
        <x:v>Account is not created and user remains on Register.</x:v>
      </x:c>
    </x:row>
    <x:row r="37" ht="43.5" customHeight="1">
      <x:c r="A37" s="7" t="str">
        <x:v>TC-05</x:v>
      </x:c>
      <x:c r="B37" s="7" t="str">
        <x:v>Register Validation</x:v>
      </x:c>
      <x:c r="C37" s="7" t="str">
        <x:v>Fake email</x:v>
      </x:c>
      <x:c r="D37" s="7" t="str">
        <x:v>qa.redmine@example.test</x:v>
      </x:c>
      <x:c r="E37" s="7" t="str">
        <x:v>Email field accepts fake test data for negative validation only</x:v>
      </x:c>
      <x:c r="F37" s="7" t="str">
        <x:v>Do not use personal email and do not complete valid registration.</x:v>
      </x:c>
    </x:row>
    <x:row r="38" ht="43.5" customHeight="1">
      <x:c r="A38" s="7" t="str">
        <x:v>TC-05</x:v>
      </x:c>
      <x:c r="B38" s="7" t="str">
        <x:v>Optional Fields</x:v>
      </x:c>
      <x:c r="C38" s="7" t="str">
        <x:v>Language</x:v>
      </x:c>
      <x:c r="D38" s="7" t="str">
        <x:v>Register page field/control</x:v>
      </x:c>
      <x:c r="E38" s="7" t="str">
        <x:v>Optional profile field</x:v>
      </x:c>
      <x:c r="F38" s="7" t="str">
        <x:v>Presence assertion only.</x:v>
      </x:c>
    </x:row>
    <x:row r="39" ht="43.5" customHeight="1">
      <x:c r="A39" s="7" t="str">
        <x:v>TC-05</x:v>
      </x:c>
      <x:c r="B39" s="7" t="str">
        <x:v>Optional Fields</x:v>
      </x:c>
      <x:c r="C39" s="7" t="str">
        <x:v>Organization</x:v>
      </x:c>
      <x:c r="D39" s="7" t="str">
        <x:v>Register page field/control</x:v>
      </x:c>
      <x:c r="E39" s="7" t="str">
        <x:v>Optional profile field</x:v>
      </x:c>
      <x:c r="F39" s="7" t="str">
        <x:v>Presence assertion only.</x:v>
      </x:c>
    </x:row>
    <x:row r="40" ht="43.5" customHeight="1">
      <x:c r="A40" s="7" t="str">
        <x:v>TC-05</x:v>
      </x:c>
      <x:c r="B40" s="7" t="str">
        <x:v>Optional Fields</x:v>
      </x:c>
      <x:c r="C40" s="7" t="str">
        <x:v>Location</x:v>
      </x:c>
      <x:c r="D40" s="7" t="str">
        <x:v>Register page field/control</x:v>
      </x:c>
      <x:c r="E40" s="7" t="str">
        <x:v>Optional profile field</x:v>
      </x:c>
      <x:c r="F40" s="7" t="str">
        <x:v>Presence assertion only.</x:v>
      </x:c>
    </x:row>
    <x:row r="41" ht="43.5" customHeight="1">
      <x:c r="A41" s="7" t="str">
        <x:v>TC-05</x:v>
      </x:c>
      <x:c r="B41" s="7" t="str">
        <x:v>Optional Fields</x:v>
      </x:c>
      <x:c r="C41" s="7" t="str">
        <x:v>IRC nick</x:v>
      </x:c>
      <x:c r="D41" s="7" t="str">
        <x:v>Register page field/control</x:v>
      </x:c>
      <x:c r="E41" s="7" t="str">
        <x:v>Optional profile field</x:v>
      </x:c>
      <x:c r="F41" s="7" t="str">
        <x:v>Presence assertion only.</x:v>
      </x:c>
    </x:row>
    <x:row r="42" ht="43.5" customHeight="1">
      <x:c r="A42" s="7" t="str">
        <x:v>TC-05</x:v>
      </x:c>
      <x:c r="B42" s="7" t="str">
        <x:v>Optional Fields</x:v>
      </x:c>
      <x:c r="C42" s="7" t="str">
        <x:v>Hide my email</x:v>
      </x:c>
      <x:c r="D42" s="7" t="str">
        <x:v>Register page field/control</x:v>
      </x:c>
      <x:c r="E42" s="7" t="str">
        <x:v>Optional privacy setting</x:v>
      </x:c>
      <x:c r="F42" s="7" t="str">
        <x:v>Presence assertion only.</x:v>
      </x:c>
    </x:row>
  </x:sheetData>
  <x:mergeCells>
    <x:mergeCell ref="A1:F1"/>
  </x:mergeCells>
  <x:pageMargins left="0.7" right="0.7" top="0.75" bottom="0.75" header="0.3" footer="0.3"/>
  <x:tableParts count="4">
    <x:tablePart xmlns:r="http://schemas.openxmlformats.org/officeDocument/2006/relationships" r:id="R3d5d4dc5b031434c"/>
    <x:tablePart xmlns:r="http://schemas.openxmlformats.org/officeDocument/2006/relationships" r:id="R3b618e5cc4d74fe7"/>
    <x:tablePart xmlns:r="http://schemas.openxmlformats.org/officeDocument/2006/relationships" r:id="Rbb614c9da8f248ce"/>
    <x:tablePart xmlns:r="http://schemas.openxmlformats.org/officeDocument/2006/relationships" r:id="R9f07191c5d1a4c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420000076293945" hidden="0" customWidth="1"/>
    <x:col min="2" max="2" width="39.70000076293945" hidden="0" customWidth="1"/>
    <x:col min="3" max="3" width="12.789999961853027" hidden="0" customWidth="1"/>
    <x:col min="4" max="4" width="30.280000686645508" hidden="0" customWidth="1"/>
    <x:col min="5" max="5" width="14.130000114440918" hidden="0" customWidth="1"/>
    <x:col min="6" max="6" width="14.130000114440918" hidden="0" customWidth="1"/>
    <x:col min="7" max="7" width="14.130000114440918" hidden="0" customWidth="1"/>
    <x:col min="8" max="8" width="34.31999969482422" hidden="0" customWidth="1"/>
  </x:cols>
  <x:sheetData>
    <x:row r="1" ht="25.5" customHeight="1">
      <x:c r="A1" s="4" t="str">
        <x:v>Test Execution Summary</x:v>
      </x:c>
      <x:c r="B1" s="4" t="str">
        <x:v>Test Execution Summary</x:v>
      </x:c>
      <x:c r="C1" s="4" t="str">
        <x:v>Test Execution Summary</x:v>
      </x:c>
      <x:c r="D1" s="4" t="str">
        <x:v>Test Execution Summary</x:v>
      </x:c>
      <x:c r="E1" s="4" t="str">
        <x:v>Test Execution Summary</x:v>
      </x:c>
      <x:c r="F1" s="4" t="str">
        <x:v>Test Execution Summary</x:v>
      </x:c>
      <x:c r="G1" s="4" t="str">
        <x:v>Test Execution Summary</x:v>
      </x:c>
      <x:c r="H1" s="4" t="str">
        <x:v>Test Execution Summary</x:v>
      </x:c>
    </x:row>
    <x:row r="3">
      <x:c r="A3" s="9" t="str">
        <x:v>Execution Date</x:v>
      </x:c>
      <x:c r="B3" s="7" t="str"/>
    </x:row>
    <x:row r="4">
      <x:c r="A4" s="9" t="str">
        <x:v>Environment</x:v>
      </x:c>
      <x:c r="B4" s="7" t="str">
        <x:v>Production public site: https://www.redmine.org/</x:v>
      </x:c>
    </x:row>
    <x:row r="5">
      <x:c r="A5" s="9" t="str">
        <x:v>Browser / Device</x:v>
      </x:c>
      <x:c r="B5" s="7" t="str"/>
    </x:row>
    <x:row r="6">
      <x:c r="A6" s="9" t="str">
        <x:v>Build / Commit</x:v>
      </x:c>
      <x:c r="B6" s="7" t="str"/>
    </x:row>
    <x:row r="7">
      <x:c r="A7" s="9" t="str">
        <x:v>Passed</x:v>
      </x:c>
      <x:c r="B7" s="7" t="n">
        <x:f>COUNTIF(F14:F18,"Pass")</x:f>
        <x:v>0</x:v>
      </x:c>
    </x:row>
    <x:row r="8">
      <x:c r="A8" s="9" t="str">
        <x:v>Failed</x:v>
      </x:c>
      <x:c r="B8" s="7" t="n">
        <x:f>COUNTIF(F14:F18,"Fail")</x:f>
        <x:v>0</x:v>
      </x:c>
    </x:row>
    <x:row r="9">
      <x:c r="A9" s="9" t="str">
        <x:v>Skipped</x:v>
      </x:c>
      <x:c r="B9" s="7" t="n">
        <x:f>COUNTIF(F14:F18,"Skip")</x:f>
        <x:v>0</x:v>
      </x:c>
    </x:row>
    <x:row r="10">
      <x:c r="A10" s="9" t="str">
        <x:v>Notes</x:v>
      </x:c>
      <x:c r="B10" s="7" t="str"/>
    </x:row>
    <x:row r="13">
      <x:c r="A13" s="13" t="str">
        <x:v>TC ID</x:v>
      </x:c>
      <x:c r="B13" s="13" t="str">
        <x:v>Title</x:v>
      </x:c>
      <x:c r="C13" s="13" t="str">
        <x:v>Tag</x:v>
      </x:c>
      <x:c r="D13" s="13" t="str">
        <x:v>Spec File</x:v>
      </x:c>
      <x:c r="E13" s="13" t="str">
        <x:v>Tester</x:v>
      </x:c>
      <x:c r="F13" s="13" t="str">
        <x:v>Status</x:v>
      </x:c>
      <x:c r="G13" s="13" t="str">
        <x:v>Date</x:v>
      </x:c>
      <x:c r="H13" s="13" t="str">
        <x:v>Notes / Defect ID</x:v>
      </x:c>
    </x:row>
    <x:row r="14" ht="33" customHeight="1">
      <x:c r="A14" s="7" t="str">
        <x:v>TC-01</x:v>
      </x:c>
      <x:c r="B14" s="7" t="str">
        <x:v>Home page overview and content sections</x:v>
      </x:c>
      <x:c r="C14" s="7" t="str">
        <x:v>@smoke</x:v>
      </x:c>
      <x:c r="D14" s="7" t="str">
        <x:v>tests/home.spec.js</x:v>
      </x:c>
      <x:c r="E14" s="7" t="str"/>
      <x:c r="F14" s="7" t="str"/>
      <x:c r="G14" s="7" t="str"/>
      <x:c r="H14" s="7" t="str"/>
    </x:row>
    <x:row r="15" ht="33" customHeight="1">
      <x:c r="A15" s="7" t="str">
        <x:v>TC-02</x:v>
      </x:c>
      <x:c r="B15" s="7" t="str">
        <x:v>Project navigation tabs</x:v>
      </x:c>
      <x:c r="C15" s="7" t="str">
        <x:v>@smoke</x:v>
      </x:c>
      <x:c r="D15" s="7" t="str">
        <x:v>tests/project-navigation.spec.js</x:v>
      </x:c>
      <x:c r="E15" s="7" t="str"/>
      <x:c r="F15" s="7" t="str"/>
      <x:c r="G15" s="7" t="str"/>
      <x:c r="H15" s="7" t="str"/>
    </x:row>
    <x:row r="16" ht="33" customHeight="1">
      <x:c r="A16" s="7" t="str">
        <x:v>TC-03</x:v>
      </x:c>
      <x:c r="B16" s="7" t="str">
        <x:v>Issues list, filters, and custom queries</x:v>
      </x:c>
      <x:c r="C16" s="7" t="str">
        <x:v>@regression</x:v>
      </x:c>
      <x:c r="D16" s="7" t="str">
        <x:v>tests/issues.spec.js</x:v>
      </x:c>
      <x:c r="E16" s="7" t="str"/>
      <x:c r="F16" s="7" t="str"/>
      <x:c r="G16" s="7" t="str"/>
      <x:c r="H16" s="7" t="str"/>
    </x:row>
    <x:row r="17" ht="33" customHeight="1">
      <x:c r="A17" s="7" t="str">
        <x:v>TC-04</x:v>
      </x:c>
      <x:c r="B17" s="7" t="str">
        <x:v>Global header search</x:v>
      </x:c>
      <x:c r="C17" s="7" t="str">
        <x:v>@regression</x:v>
      </x:c>
      <x:c r="D17" s="7" t="str">
        <x:v>tests/search.spec.js</x:v>
      </x:c>
      <x:c r="E17" s="7" t="str"/>
      <x:c r="F17" s="7" t="str"/>
      <x:c r="G17" s="7" t="str"/>
      <x:c r="H17" s="7" t="str"/>
    </x:row>
    <x:row r="18" ht="33" customHeight="1">
      <x:c r="A18" s="7" t="str">
        <x:v>TC-05</x:v>
      </x:c>
      <x:c r="B18" s="7" t="str">
        <x:v>Register validation</x:v>
      </x:c>
      <x:c r="C18" s="7" t="str">
        <x:v>@regression</x:v>
      </x:c>
      <x:c r="D18" s="7" t="str">
        <x:v>tests/register.spec.js</x:v>
      </x:c>
      <x:c r="E18" s="7" t="str"/>
      <x:c r="F18" s="7" t="str"/>
      <x:c r="G18" s="7" t="str"/>
      <x:c r="H18" s="7" t="str"/>
    </x:row>
  </x:sheetData>
  <x:mergeCells>
    <x:mergeCell ref="A1:H1"/>
  </x:mergeCells>
  <x:pageMargins left="0.7" right="0.7" top="0.75" bottom="0.75" header="0.3" footer="0.3"/>
  <x:tableParts count="1">
    <x:tablePart xmlns:r="http://schemas.openxmlformats.org/officeDocument/2006/relationships" r:id="Rdb2bf9ca8e3441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12.109999656677246" hidden="0" customWidth="1"/>
    <x:col min="3" max="3" width="42.400001525878906" hidden="0" customWidth="1"/>
    <x:col min="4" max="4" width="39.70000076293945" hidden="0" customWidth="1"/>
  </x:cols>
  <x:sheetData>
    <x:row r="1" ht="25.5" customHeight="1">
      <x:c r="A1" s="4" t="str">
        <x:v>Test Case Quality Checklist</x:v>
      </x:c>
      <x:c r="B1" s="4" t="str">
        <x:v>Test Case Quality Checklist</x:v>
      </x:c>
      <x:c r="C1" s="4" t="str">
        <x:v>Test Case Quality Checklist</x:v>
      </x:c>
      <x:c r="D1" s="4" t="str">
        <x:v>Test Case Quality Checklist</x:v>
      </x:c>
    </x:row>
    <x:row r="3">
      <x:c r="A3" s="13" t="str">
        <x:v>Rule</x:v>
      </x:c>
      <x:c r="B3" s="13" t="str">
        <x:v>Required</x:v>
      </x:c>
      <x:c r="C3" s="13" t="str">
        <x:v>Why it matters</x:v>
      </x:c>
      <x:c r="D3" s="13" t="str">
        <x:v>Source/Note</x:v>
      </x:c>
    </x:row>
    <x:row r="4">
      <x:c r="A4" s="7" t="str">
        <x:v>One clear purpose per test case</x:v>
      </x:c>
      <x:c r="B4" s="7" t="str">
        <x:v>Yes</x:v>
      </x:c>
      <x:c r="C4" s="7" t="str">
        <x:v>Keeps the scenario understandable and automatable.</x:v>
      </x:c>
      <x:c r="D4" s="7" t="str">
        <x:v>Avoid duplicate or mixed-purpose cases.</x:v>
      </x:c>
    </x:row>
    <x:row r="5">
      <x:c r="A5" s="7" t="str">
        <x:v>Preconditions are explicit</x:v>
      </x:c>
      <x:c r="B5" s="7" t="str">
        <x:v>Yes</x:v>
      </x:c>
      <x:c r="C5" s="7" t="str">
        <x:v>The tester knows the starting state before executing steps.</x:v>
      </x:c>
      <x:c r="D5" s="7" t="str">
        <x:v>Site domain belongs in preconditions, not the first step.</x:v>
      </x:c>
    </x:row>
    <x:row r="6">
      <x:c r="A6" s="7" t="str">
        <x:v>Steps are action-oriented</x:v>
      </x:c>
      <x:c r="B6" s="7" t="str">
        <x:v>Yes</x:v>
      </x:c>
      <x:c r="C6" s="7" t="str">
        <x:v>Steps should describe what to do, not the expected behavior.</x:v>
      </x:c>
      <x:c r="D6" s="7" t="str">
        <x:v>Use infinitive/action wording.</x:v>
      </x:c>
    </x:row>
    <x:row r="7">
      <x:c r="A7" s="7" t="str">
        <x:v>Expected results are complete sentences</x:v>
      </x:c>
      <x:c r="B7" s="7" t="str">
        <x:v>Yes</x:v>
      </x:c>
      <x:c r="C7" s="7" t="str">
        <x:v>Expected behavior is clear and verifiable.</x:v>
      </x:c>
      <x:c r="D7" s="7" t="str">
        <x:v>Do not write actual results in test design.</x:v>
      </x:c>
    </x:row>
    <x:row r="8">
      <x:c r="A8" s="7" t="str">
        <x:v>No real production data changes</x:v>
      </x:c>
      <x:c r="B8" s="7" t="str">
        <x:v>Yes</x:v>
      </x:c>
      <x:c r="C8" s="7" t="str">
        <x:v>Public site testing must be safe.</x:v>
      </x:c>
      <x:c r="D8" s="7" t="str">
        <x:v>Stop before account creation or content submission.</x:v>
      </x:c>
    </x:row>
    <x:row r="9">
      <x:c r="A9" s="7" t="str">
        <x:v>No private credentials or personal data</x:v>
      </x:c>
      <x:c r="B9" s="7" t="str">
        <x:v>Yes</x:v>
      </x:c>
      <x:c r="C9" s="7" t="str">
        <x:v>Keeps the test data safe and reusable.</x:v>
      </x:c>
      <x:c r="D9" s="7" t="str">
        <x:v>Use fake data only.</x:v>
      </x:c>
    </x:row>
    <x:row r="10">
      <x:c r="A10" s="7" t="str">
        <x:v>No over-fragmented duplicates</x:v>
      </x:c>
      <x:c r="B10" s="7" t="str">
        <x:v>Yes</x:v>
      </x:c>
      <x:c r="C10" s="7" t="str">
        <x:v>Similar negative checks should be grouped logically.</x:v>
      </x:c>
      <x:c r="D10" s="7" t="str">
        <x:v>Avoid duplicate cases for the same goal.</x:v>
      </x:c>
    </x:row>
    <x:row r="11">
      <x:c r="A11" s="7" t="str">
        <x:v>Automation ID matches manual TC ID</x:v>
      </x:c>
      <x:c r="B11" s="7" t="str">
        <x:v>Yes</x:v>
      </x:c>
      <x:c r="C11" s="7" t="str">
        <x:v>Traceability between Excel and Playwright remains clear.</x:v>
      </x:c>
      <x:c r="D11" s="7" t="str">
        <x:v>Use TC-XX in spec titles.</x:v>
      </x:c>
    </x:row>
    <x:row r="12">
      <x:c r="A12" s="7" t="str">
        <x:v>Allure labels/tags are defined</x:v>
      </x:c>
      <x:c r="B12" s="7" t="str">
        <x:v>Yes</x:v>
      </x:c>
      <x:c r="C12" s="7" t="str">
        <x:v>Report is readable and grouped by feature.</x:v>
      </x:c>
      <x:c r="D12" s="7" t="str">
        <x:v>Use epic/feature/story where useful.</x:v>
      </x:c>
    </x:row>
    <x:row r="13">
      <x:c r="A13" s="7" t="str">
        <x:v>Dynamic public data is handled carefully</x:v>
      </x:c>
      <x:c r="B13" s="7" t="str">
        <x:v>Yes</x:v>
      </x:c>
      <x:c r="C13" s="7" t="str">
        <x:v>Redmine issue lists and releases change over time.</x:v>
      </x:c>
      <x:c r="D13" s="7" t="str">
        <x:v>Assert structure/content presence rather than exact changing IDs.</x:v>
      </x:c>
    </x:row>
    <x:row r="14">
      <x:c r="A14" s="7" t="str">
        <x:v>The test case is complete</x:v>
      </x:c>
      <x:c r="B14" s="7" t="str">
        <x:v>Yes</x:v>
      </x:c>
      <x:c r="C14" s="7" t="str">
        <x:v>The scenario should reach a meaningful end state.</x:v>
      </x:c>
      <x:c r="D14" s="7" t="str">
        <x:v>Avoid ending halfway through a flow.</x:v>
      </x:c>
    </x:row>
    <x:row r="15">
      <x:c r="A15" s="7" t="str">
        <x:v>Each test can run independently</x:v>
      </x:c>
      <x:c r="B15" s="7" t="str">
        <x:v>Yes</x:v>
      </x:c>
      <x:c r="C15" s="7" t="str">
        <x:v>CI stability and parallel execution require isolation.</x:v>
      </x:c>
      <x:c r="D15" s="7" t="str">
        <x:v>No dependency on previous test order.</x:v>
      </x:c>
    </x:row>
  </x:sheetData>
  <x:mergeCells>
    <x:mergeCell ref="A1:D1"/>
  </x:mergeCells>
  <x:pageMargins left="0.7" right="0.7" top="0.75" bottom="0.75" header="0.3" footer="0.3"/>
  <x:tableParts count="1">
    <x:tablePart xmlns:r="http://schemas.openxmlformats.org/officeDocument/2006/relationships" r:id="Re68a4cebcbf64bc2"/>
  </x:tableParts>
</x:worksheet>
</file>